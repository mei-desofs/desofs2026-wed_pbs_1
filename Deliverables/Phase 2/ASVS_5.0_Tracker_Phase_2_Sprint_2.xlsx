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Projetos\ghostreport\Deliverables\Phase 2\"/>
    </mc:Choice>
  </mc:AlternateContent>
  <xr:revisionPtr revIDLastSave="0" documentId="13_ncr:1_{D63029CB-0C9F-4BC6-BE06-0010245215C7}" xr6:coauthVersionLast="47" xr6:coauthVersionMax="47" xr10:uidLastSave="{00000000-0000-0000-0000-000000000000}"/>
  <bookViews>
    <workbookView xWindow="-15" yWindow="-16320" windowWidth="29040" windowHeight="15720" firstSheet="1" activeTab="5" xr2:uid="{00000000-000D-0000-FFFF-FFFF00000000}"/>
  </bookViews>
  <sheets>
    <sheet name="Summary" sheetId="1" r:id="rId1"/>
    <sheet name="Sprint 1 Evidence" sheetId="2" r:id="rId2"/>
    <sheet name="Assessment Notes" sheetId="3" r:id="rId3"/>
    <sheet name="V1 - Encoding and Sanitization" sheetId="4" r:id="rId4"/>
    <sheet name="V2 - Validation and Business Lo" sheetId="5" r:id="rId5"/>
    <sheet name="V3 - Web Frontend Security" sheetId="6" r:id="rId6"/>
    <sheet name="V4 - API and Web Service" sheetId="7" r:id="rId7"/>
    <sheet name="V5 - File Handling" sheetId="8" r:id="rId8"/>
    <sheet name="V6 - Authentication" sheetId="9" r:id="rId9"/>
    <sheet name="V7 - Session Management" sheetId="10" r:id="rId10"/>
    <sheet name="V8 - Authorization" sheetId="11" r:id="rId11"/>
    <sheet name="V9 - Self-contained Tokens" sheetId="12" r:id="rId12"/>
    <sheet name="V10 - OAuth and OIDC" sheetId="13" r:id="rId13"/>
    <sheet name="V11 - Cryptography" sheetId="14" r:id="rId14"/>
    <sheet name="V12 - Secure Communication" sheetId="15" r:id="rId15"/>
    <sheet name="V13 - Configuration" sheetId="16" r:id="rId16"/>
    <sheet name="V14 - Data Protection" sheetId="17" r:id="rId17"/>
    <sheet name="V15 - Secure Coding and Archite" sheetId="18" r:id="rId18"/>
    <sheet name="V16 - Security Logging and Erro" sheetId="19" r:id="rId19"/>
    <sheet name="V17 - WebRTC" sheetId="20" r:id="rId20"/>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3" i="1" l="1"/>
  <c r="F23" i="1"/>
  <c r="C23" i="1"/>
  <c r="B23" i="1"/>
  <c r="L22" i="1"/>
  <c r="M22" i="1" s="1"/>
  <c r="J22" i="1"/>
  <c r="K22" i="1" s="1"/>
  <c r="G22" i="1"/>
  <c r="H22" i="1" s="1"/>
  <c r="L21" i="1"/>
  <c r="M21" i="1" s="1"/>
  <c r="J21" i="1"/>
  <c r="K21" i="1" s="1"/>
  <c r="G21" i="1"/>
  <c r="H21" i="1" s="1"/>
  <c r="L20" i="1"/>
  <c r="M20" i="1" s="1"/>
  <c r="J20" i="1"/>
  <c r="K20" i="1" s="1"/>
  <c r="G20" i="1"/>
  <c r="H20" i="1" s="1"/>
  <c r="D20" i="1"/>
  <c r="E20" i="1" s="1"/>
  <c r="L19" i="1"/>
  <c r="M19" i="1" s="1"/>
  <c r="J19" i="1"/>
  <c r="K19" i="1" s="1"/>
  <c r="G19" i="1"/>
  <c r="H19" i="1" s="1"/>
  <c r="D19" i="1"/>
  <c r="E19" i="1" s="1"/>
  <c r="L18" i="1"/>
  <c r="M18" i="1" s="1"/>
  <c r="J18" i="1"/>
  <c r="K18" i="1" s="1"/>
  <c r="G18" i="1"/>
  <c r="H18" i="1" s="1"/>
  <c r="D18" i="1"/>
  <c r="E18" i="1" s="1"/>
  <c r="L17" i="1"/>
  <c r="M17" i="1" s="1"/>
  <c r="J17" i="1"/>
  <c r="K17" i="1" s="1"/>
  <c r="G17" i="1"/>
  <c r="H17" i="1" s="1"/>
  <c r="D17" i="1"/>
  <c r="E17" i="1" s="1"/>
  <c r="L16" i="1"/>
  <c r="M16" i="1" s="1"/>
  <c r="J16" i="1"/>
  <c r="K16" i="1" s="1"/>
  <c r="G16" i="1"/>
  <c r="H16" i="1" s="1"/>
  <c r="D16" i="1"/>
  <c r="E16" i="1" s="1"/>
  <c r="L15" i="1"/>
  <c r="M15" i="1" s="1"/>
  <c r="J15" i="1"/>
  <c r="K15" i="1" s="1"/>
  <c r="G15" i="1"/>
  <c r="H15" i="1" s="1"/>
  <c r="D15" i="1"/>
  <c r="E15" i="1" s="1"/>
  <c r="L14" i="1"/>
  <c r="M14" i="1" s="1"/>
  <c r="G14" i="1"/>
  <c r="H14" i="1" s="1"/>
  <c r="D14" i="1"/>
  <c r="E14" i="1" s="1"/>
  <c r="L13" i="1"/>
  <c r="M13" i="1" s="1"/>
  <c r="J13" i="1"/>
  <c r="K13" i="1" s="1"/>
  <c r="G13" i="1"/>
  <c r="H13" i="1" s="1"/>
  <c r="D13" i="1"/>
  <c r="E13" i="1" s="1"/>
  <c r="L12" i="1"/>
  <c r="M12" i="1" s="1"/>
  <c r="J12" i="1"/>
  <c r="K12" i="1" s="1"/>
  <c r="G12" i="1"/>
  <c r="H12" i="1" s="1"/>
  <c r="D12" i="1"/>
  <c r="E12" i="1" s="1"/>
  <c r="L11" i="1"/>
  <c r="M11" i="1" s="1"/>
  <c r="J11" i="1"/>
  <c r="K11" i="1" s="1"/>
  <c r="G11" i="1"/>
  <c r="H11" i="1" s="1"/>
  <c r="D11" i="1"/>
  <c r="E11" i="1" s="1"/>
  <c r="L10" i="1"/>
  <c r="M10" i="1" s="1"/>
  <c r="J10" i="1"/>
  <c r="K10" i="1" s="1"/>
  <c r="G10" i="1"/>
  <c r="H10" i="1" s="1"/>
  <c r="D10" i="1"/>
  <c r="E10" i="1" s="1"/>
  <c r="L9" i="1"/>
  <c r="M9" i="1" s="1"/>
  <c r="J9" i="1"/>
  <c r="K9" i="1" s="1"/>
  <c r="G9" i="1"/>
  <c r="H9" i="1" s="1"/>
  <c r="D9" i="1"/>
  <c r="E9" i="1" s="1"/>
  <c r="L8" i="1"/>
  <c r="M8" i="1" s="1"/>
  <c r="J8" i="1"/>
  <c r="K8" i="1" s="1"/>
  <c r="G8" i="1"/>
  <c r="H8" i="1" s="1"/>
  <c r="D8" i="1"/>
  <c r="E8" i="1" s="1"/>
  <c r="L7" i="1"/>
  <c r="M7" i="1" s="1"/>
  <c r="J7" i="1"/>
  <c r="K7" i="1" s="1"/>
  <c r="G7" i="1"/>
  <c r="H7" i="1" s="1"/>
  <c r="D7" i="1"/>
  <c r="E7" i="1" s="1"/>
  <c r="L6" i="1"/>
  <c r="J6" i="1"/>
  <c r="K6" i="1" s="1"/>
  <c r="G6" i="1"/>
  <c r="H6" i="1" s="1"/>
  <c r="D6" i="1"/>
  <c r="D23" i="1" s="1"/>
  <c r="K23" i="1" l="1"/>
  <c r="L23" i="1"/>
  <c r="H23" i="1"/>
  <c r="M6" i="1"/>
  <c r="M23" i="1" s="1"/>
  <c r="G23" i="1"/>
  <c r="E6" i="1"/>
  <c r="E23" i="1" s="1"/>
  <c r="J2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Alexandre Vieira</author>
  </authors>
  <commentList>
    <comment ref="H24" authorId="0" shapeId="0" xr:uid="{00000000-0006-0000-0500-000002000000}">
      <text>
        <r>
          <rPr>
            <sz val="11"/>
            <color rgb="FF000000"/>
            <rFont val="Calibri"/>
            <family val="2"/>
          </rPr>
          <t>Alexandre Vieira:
System design (no CSRF/origin validation defined)</t>
        </r>
      </text>
    </comment>
    <comment ref="H25" authorId="0" shapeId="0" xr:uid="{00000000-0006-0000-0500-000003000000}">
      <text>
        <r>
          <rPr>
            <sz val="11"/>
            <color rgb="FF000000"/>
            <rFont val="Calibri"/>
            <family val="2"/>
          </rPr>
          <t>Alexandre Vieira:
System design (no CORS enforcement defined)</t>
        </r>
      </text>
    </comment>
    <comment ref="H26" authorId="0" shapeId="0" xr:uid="{00000000-0006-0000-0500-000004000000}">
      <text>
        <r>
          <rPr>
            <sz val="11"/>
            <color rgb="FF000000"/>
            <rFont val="Calibri"/>
            <family val="2"/>
          </rPr>
          <t>Alexandre Vieira:
System design (API behavior not fully specified)</t>
        </r>
      </text>
    </comment>
    <comment ref="H27" authorId="0" shapeId="0" xr:uid="{00000000-0006-0000-0500-000005000000}">
      <text>
        <r>
          <rPr>
            <sz val="11"/>
            <color rgb="FF000000"/>
            <rFont val="Calibri"/>
            <family val="2"/>
          </rPr>
          <t>Alexandre Vieira:
System design (deployment/origin separation not specified)</t>
        </r>
      </text>
    </comment>
    <comment ref="H29" authorId="0" shapeId="0" xr:uid="{00000000-0006-0000-0500-000006000000}">
      <text>
        <r>
          <rPr>
            <sz val="11"/>
            <color rgb="FF000000"/>
            <rFont val="Calibri"/>
            <family val="2"/>
          </rPr>
          <t>Alexandre Vieira:
System design (no JSONP usage defined)</t>
        </r>
      </text>
    </comment>
    <comment ref="H31" authorId="0" shapeId="0" xr:uid="{00000000-0006-0000-0500-000007000000}">
      <text>
        <r>
          <rPr>
            <sz val="11"/>
            <color rgb="FF000000"/>
            <rFont val="Calibri"/>
            <family val="2"/>
          </rPr>
          <t>Alexandre Vieira:
System design (no browser resource controls defined)</t>
        </r>
      </text>
    </comment>
    <comment ref="H33" authorId="0" shapeId="0" xr:uid="{00000000-0006-0000-0500-000008000000}">
      <text>
        <r>
          <rPr>
            <sz val="11"/>
            <color rgb="FF000000"/>
            <rFont val="Calibri"/>
            <family val="2"/>
          </rPr>
          <t>Alexandre Vieira:
System design (no frontend assets)</t>
        </r>
      </text>
    </comment>
    <comment ref="G37" authorId="0" shapeId="0" xr:uid="{00000000-0006-0000-0500-000009000000}">
      <text>
        <r>
          <rPr>
            <sz val="11"/>
            <color rgb="FF000000"/>
            <rFont val="Calibri"/>
            <family val="2"/>
          </rPr>
          <t>Alexandre Vieira:
Not applicable in current backend-only design; would be relevant if a browser-based client is introduced.</t>
        </r>
      </text>
    </comment>
    <comment ref="H38" authorId="0" shapeId="0" xr:uid="{00000000-0006-0000-0500-00000A000000}">
      <text>
        <r>
          <rPr>
            <sz val="11"/>
            <color rgb="FF000000"/>
            <rFont val="Calibri"/>
            <family val="2"/>
          </rPr>
          <t>Alexandre Vieira:
HTTPS requirement defined; HSTS preload not specified</t>
        </r>
      </text>
    </comment>
    <comment ref="H39" authorId="0" shapeId="0" xr:uid="{00000000-0006-0000-0500-00000B000000}">
      <text>
        <r>
          <rPr>
            <sz val="11"/>
            <color rgb="FF000000"/>
            <rFont val="Calibri"/>
            <family val="2"/>
          </rPr>
          <t>Alexandre Vieira:
System design (no frontend/browser behavior defined)</t>
        </r>
      </text>
    </comment>
  </commentList>
</comments>
</file>

<file path=xl/sharedStrings.xml><?xml version="1.0" encoding="utf-8"?>
<sst xmlns="http://schemas.openxmlformats.org/spreadsheetml/2006/main" count="2819" uniqueCount="1296">
  <si>
    <t>OWASP ASVS 5.0 ? Compliance Tracker (GhostReport Phase 2 Sprint 1)</t>
  </si>
  <si>
    <t>Chapter</t>
  </si>
  <si>
    <t>Total
Reqs</t>
  </si>
  <si>
    <t>L1
Total</t>
  </si>
  <si>
    <t>L1
Compliant</t>
  </si>
  <si>
    <t>L1
%</t>
  </si>
  <si>
    <t>L2
Total</t>
  </si>
  <si>
    <t>L2
Compliant</t>
  </si>
  <si>
    <t>L2
%</t>
  </si>
  <si>
    <t>L3
Total</t>
  </si>
  <si>
    <t>L3
Compliant</t>
  </si>
  <si>
    <t>L3
%</t>
  </si>
  <si>
    <t>Overall
Compliant</t>
  </si>
  <si>
    <t>Overall
%</t>
  </si>
  <si>
    <t>V1 – Encoding and Sanitization</t>
  </si>
  <si>
    <t>V2 – Validation and Business Logic</t>
  </si>
  <si>
    <t>V3 – Web Frontend Security</t>
  </si>
  <si>
    <t>V4 – API and Web Service</t>
  </si>
  <si>
    <t>Static Sprint 1 Snapshot</t>
  </si>
  <si>
    <t>Count</t>
  </si>
  <si>
    <t>V5 – File Handling</t>
  </si>
  <si>
    <t>Compliant</t>
  </si>
  <si>
    <t>V6 – Authentication</t>
  </si>
  <si>
    <t>In Progress</t>
  </si>
  <si>
    <t>V7 – Session Management</t>
  </si>
  <si>
    <t>Not Applicable</t>
  </si>
  <si>
    <t>V8 – Authorization</t>
  </si>
  <si>
    <t>Not Started</t>
  </si>
  <si>
    <t>V9 – Self-contained Tokens</t>
  </si>
  <si>
    <t>N/A</t>
  </si>
  <si>
    <t>L1 Compliant</t>
  </si>
  <si>
    <t>33 / 70</t>
  </si>
  <si>
    <t>V10 – OAuth and OIDC</t>
  </si>
  <si>
    <t>L2 Compliant</t>
  </si>
  <si>
    <t>15 / 183</t>
  </si>
  <si>
    <t>V11 – Cryptography</t>
  </si>
  <si>
    <t>L3 Compliant</t>
  </si>
  <si>
    <t>2 / 92</t>
  </si>
  <si>
    <t>V12 – Secure Communication</t>
  </si>
  <si>
    <t>V13 – Configuration</t>
  </si>
  <si>
    <t>V14 – Data Protection</t>
  </si>
  <si>
    <t>V15 – Secure Coding and Architecture</t>
  </si>
  <si>
    <t>V16 – Security Logging and Error Handling</t>
  </si>
  <si>
    <t>V17 – WebRTC</t>
  </si>
  <si>
    <t>TOTAL</t>
  </si>
  <si>
    <t>Area</t>
  </si>
  <si>
    <t>ASVS Mapping</t>
  </si>
  <si>
    <t>Implemented Control</t>
  </si>
  <si>
    <t>Evidence</t>
  </si>
  <si>
    <t>Residual Risk / Next Step</t>
  </si>
  <si>
    <t>Authentication</t>
  </si>
  <si>
    <t>V6, V7, V9</t>
  </si>
  <si>
    <t>JWT Bearer stateless authentication, HS256/HMAC-SHA256 validation, BCrypt password hashing, 3600s configurable expiration.</t>
  </si>
  <si>
    <t>AuthService.java; JwtService.java; JwtAuthenticationFilter.java; SecurityConfig.java; CreateUserRequest.java</t>
  </si>
  <si>
    <t>No MFA and no login-specific rate limiting yet.</t>
  </si>
  <si>
    <t>Authorization</t>
  </si>
  <si>
    <t>V8</t>
  </si>
  <si>
    <t>Central RBAC rules for ADMIN, ANALYST and AUDITOR plus service-level analyst ownership checks.</t>
  </si>
  <si>
    <t>SecurityConfig.java; ReportService.java; CasePackageService.java; AdminAuthorizationTest; AnalystCaseOwnershipTest; RbacAuthorizationMatrixTest</t>
  </si>
  <si>
    <t>Full field-level matrix can be expanded.</t>
  </si>
  <si>
    <t>Input validation</t>
  </si>
  <si>
    <t>V1, V2</t>
  </si>
  <si>
    <t>Jakarta Bean Validation, domain primitives, server-side validation and controlled error handling.</t>
  </si>
  <si>
    <t>DTO package; SafeFilename.java; TrackingCode.java; ReportDescription.java; GlobalExceptionHandler.java</t>
  </si>
  <si>
    <t>More negative tests can be added for controllers/errors.</t>
  </si>
  <si>
    <t>File handling</t>
  </si>
  <si>
    <t>V5</t>
  </si>
  <si>
    <t>10 MB file limit, MIME/extension allowlist, magic-byte validation, UUID stored names and path normalization.</t>
  </si>
  <si>
    <t>FileStorageService.java; ReportControllerAttachmentUploadTest; FileStorageServiceTest; SafeFilenameSecurityTest</t>
  </si>
  <si>
    <t>No real antimalware scanning or global quota.</t>
  </si>
  <si>
    <t>Tracking code and anonymity</t>
  </si>
  <si>
    <t>V2, V14, V16</t>
  </si>
  <si>
    <t>High-entropy tracking code, hash storage, generic verification behavior, logging minimization.</t>
  </si>
  <si>
    <t>TrackingCode.java; ReportService.java; TrackingCodeEnumerationTest; AnonymousDataLoggingTest</t>
  </si>
  <si>
    <t>Advanced abuse detection/CAPTCHA not implemented.</t>
  </si>
  <si>
    <t>Audit and monitoring</t>
  </si>
  <si>
    <t>V16</t>
  </si>
  <si>
    <t>Audit logs and security alerts for critical operations and suspicious behavior.</t>
  </si>
  <si>
    <t>AuditLogService.java; SecurityMonitoringService.java; AuditController.java</t>
  </si>
  <si>
    <t>Logs are not append-only/tamper-proof and not exported to external SIEM.</t>
  </si>
  <si>
    <t>Evidence and backups</t>
  </si>
  <si>
    <t>V5, V11, V14, V16</t>
  </si>
  <si>
    <t>Evidence packages and backups include manifests and SHA-256 integrity hashes; restore staging avoids direct overwrite.</t>
  </si>
  <si>
    <t>CasePackageService.java; BackupService.java; BackupServiceIntegrationTest; CasePackageServiceIntegrationTest</t>
  </si>
  <si>
    <t>No encryption/signature/retention policy yet.</t>
  </si>
  <si>
    <t>DevSecOps pipeline</t>
  </si>
  <si>
    <t>V13, V15</t>
  </si>
  <si>
    <t>CI tests, JaCoCo, SpotBugs SAST, Dependency-Check SCA, Gitleaks and ZAP baseline DAST with artifacts.</t>
  </si>
  <si>
    <t>.github/workflows/*.yml; pom.xml; pipeline artifacts</t>
  </si>
  <si>
    <t>Policy gates and authenticated DAST are future work.</t>
  </si>
  <si>
    <t>Assessment methodology</t>
  </si>
  <si>
    <t>Updated for GhostReport Phase 2 Sprint 1 using implemented code, automated tests, GitHub Actions workflows and the Sprint 1 report.</t>
  </si>
  <si>
    <t>Scope</t>
  </si>
  <si>
    <t>Spring Boot backend, static HTML/CSS/JavaScript frontend, PostgreSQL persistence, local controlled file storage, backups, JWT backoffice authentication, RBAC, analyst ownership, audit logs, security alerts, SAST/SCA/DAST/secret scanning workflows and automated tests.</t>
  </si>
  <si>
    <t>Status logic</t>
  </si>
  <si>
    <t>Compliant = implemented and supported by code/tests/workflows for the current Sprint 1 scope.</t>
  </si>
  <si>
    <t>In Progress = partially implemented or documented, but with known limitations or future hardening still required.</t>
  </si>
  <si>
    <t>Not Applicable = outside current GhostReport scope.</t>
  </si>
  <si>
    <t>Not Started = not implemented or not evidenced in Sprint 1.</t>
  </si>
  <si>
    <t>Important limitations kept explicit</t>
  </si>
  <si>
    <t>No real antimalware scanning, no global storage quotas, no MFA, no append-only/tamper-proof audit log store, no distributed rate limiting, no authenticated ZAP scan, no formal SBOM gate.</t>
  </si>
  <si>
    <t>Section ID</t>
  </si>
  <si>
    <t>Section Name</t>
  </si>
  <si>
    <t>Req ID</t>
  </si>
  <si>
    <t>Description</t>
  </si>
  <si>
    <t>Level</t>
  </si>
  <si>
    <t>Status</t>
  </si>
  <si>
    <t>Observations</t>
  </si>
  <si>
    <t>Reference / Link</t>
  </si>
  <si>
    <t>V1.1</t>
  </si>
  <si>
    <t>Encoding and Sanitization Architecture</t>
  </si>
  <si>
    <t>V1.1.1</t>
  </si>
  <si>
    <t>Verify that input is decoded or unescaped into a canonical form only once, it is only decoded when encoded data in that form is expected, and that this is done before processing the input further, for example it is not performed after input validation or sanitization.</t>
  </si>
  <si>
    <t>Path and filename inputs are canonicalized/normalized before use. FileStorageService resolves paths with toAbsolutePath().normalize() and verifies they remain under the configured base directory.</t>
  </si>
  <si>
    <t>Sprint 1 report ?6; FileStorageService.java; SafeFilename.java; FileStorageServiceTest; SafeFilenameSecurityTest</t>
  </si>
  <si>
    <t>V1.1.2</t>
  </si>
  <si>
    <t>Verify that the application performs output encoding and escaping either as a final step before being used by the interpreter for which it is intended or by the interpreter itself.</t>
  </si>
  <si>
    <t>Safe serialization/escaping for responses and downstream interpreters should be confirmed in implementation.</t>
  </si>
  <si>
    <t>DESOFS Phase 1: input validation in mitigations §13 and tests §14</t>
  </si>
  <si>
    <t>V1.2</t>
  </si>
  <si>
    <t>Injection Prevention</t>
  </si>
  <si>
    <t>V1.2.1</t>
  </si>
  <si>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</si>
  <si>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Not applicable in the current system design.</t>
  </si>
  <si>
    <t>N/A – not in current system scope</t>
  </si>
  <si>
    <t>V1.2.2</t>
  </si>
  <si>
    <t>Verify that when dynamically building URLs, untrusted data is encoded according to its context (e.g., URL encoding or base64url encoding for query or path parameters). Ensure that only safe URL protocols are permitted (e.g., disallow javascript: or data:).</t>
  </si>
  <si>
    <t>V1.2.3</t>
  </si>
  <si>
    <t>Verify that output encoding or escaping is used when dynamically building JavaScript content (including JSON), to avoid changing the message or document structure (to avoid JavaScript and JSON injection).</t>
  </si>
  <si>
    <t>Backend JSON responses are generated through Spring/Jackson and validation errors are structured by GlobalExceptionHandler. Further frontend-specific output encoding review remains future hardening.</t>
  </si>
  <si>
    <t>GlobalExceptionHandler.java; Sprint 1 report ?8</t>
  </si>
  <si>
    <t>V1.2.4</t>
  </si>
  <si>
    <t>Verify that data selection or database queries (e.g., SQL, HQL, NoSQL, Cypher) use parameterized queries, ORMs, entity frameworks, or are otherwise protected from SQL Injection and other database injection attacks. This is also relevant when writing stored procedures.</t>
  </si>
  <si>
    <t>Application data access uses Spring Data JPA repositories and framework-managed query binding. No user-controlled SQL string concatenation is used for business endpoints.</t>
  </si>
  <si>
    <t>Repository interfaces; service layer; Sprint 1 report ?2</t>
  </si>
  <si>
    <t>V1.2.5</t>
  </si>
  <si>
    <t>Verify that the application protects against OS command injection and that operating system calls use parameterized OS queries or use contextual command line output encoding.</t>
  </si>
  <si>
    <t>No application feature invokes operating system shell commands with user-controlled input. File operations use Java NIO APIs with controlled paths.</t>
  </si>
  <si>
    <t>FileStorageService.java; BackupService.java</t>
  </si>
  <si>
    <t>V1.2.6</t>
  </si>
  <si>
    <t>Verify that the application protects against LDAP injection vulnerabilities, or that specific security controls to prevent LDAP injection have been implemented.</t>
  </si>
  <si>
    <t>V1.2.7</t>
  </si>
  <si>
    <t>Verify that the application is protected against XPath injection attacks by using query parameterization or precompiled queries.</t>
  </si>
  <si>
    <t>V1.2.8</t>
  </si>
  <si>
    <t>Verify that LaTeX processors are configured securely (such as not using the "--shell-escape" flag) and an allowlist of commands is used to prevent LaTeX injection attacks.</t>
  </si>
  <si>
    <t>V1.2.9</t>
  </si>
  <si>
    <t>Verify that the application escapes special characters in regular expressions (typically using a backslash) to prevent them from being misinterpreted as metacharacters.</t>
  </si>
  <si>
    <t>Regex safety for validation patterns should be reviewed during implementation.</t>
  </si>
  <si>
    <t>V1.2.10</t>
  </si>
  <si>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</si>
  <si>
    <t>Spreadsheet/CSV export handling is not yet specified; escape dangerous leading characters if exports are added.</t>
  </si>
  <si>
    <t>Project.pdf: backend API, 3 roles, OS/file ops, ASVS deliverable</t>
  </si>
  <si>
    <t>V1.3</t>
  </si>
  <si>
    <t>Sanitization</t>
  </si>
  <si>
    <t>V1.3.1</t>
  </si>
  <si>
    <t>Verify that all untrusted HTML input from WYSIWYG editors or similar is sanitized using a well-known and secure HTML sanitization library or framework feature.</t>
  </si>
  <si>
    <t>V1.3.2</t>
  </si>
  <si>
    <t>Verify that the application avoids the use of eval() or other dynamic code execution features such as Spring Expression Language (SpEL). Where there is no alternative, any user input being included must be sanitized before being executed.</t>
  </si>
  <si>
    <t>No dynamic code execution feature such as eval(), expression evaluation, or user-controlled script execution is used in the backend implementation.</t>
  </si>
  <si>
    <t>Code review Sprint 1; SpotBugs SAST report</t>
  </si>
  <si>
    <t>V1.3.3</t>
  </si>
  <si>
    <t>Verify that data being passed to a potentially dangerous context is sanitized beforehand to enforce safety measures, such as only allowing characters which are safe for this context and trimming input which is too long.</t>
  </si>
  <si>
    <t>User input is validated in the design (RS4, RS5), but context-specific sanitization (e.g., for file paths, database queries, or outputs) is not explicitly defined.</t>
  </si>
  <si>
    <t>V1.3.4</t>
  </si>
  <si>
    <t>Verify that user-supplied Scalable Vector Graphics (SVG) scriptable content is validated or sanitized to contain only tags and attributes (such as draw graphics) that are safe for the application, e.g., do not contain scripts and foreignObject.</t>
  </si>
  <si>
    <t>V1.3.5</t>
  </si>
  <si>
    <t>Verify that the application sanitizes or disables user-supplied scriptable or expression template language content, such as Markdown, CSS or XSL stylesheets, BBCode, or similar.</t>
  </si>
  <si>
    <t>V1.3.6</t>
  </si>
  <si>
    <t>Verify that the application protects against Server-side Request Forgery (SSRF) attacks, by validating untrusted data against an allowlist of protocols, domains, paths and ports and sanitizing potentially dangerous characters before using the data to call another service.</t>
  </si>
  <si>
    <t>The system processes user input but does not define restrictions on external resource access (e.g., URLs, APIs), which may lead to SSRF risks if implemented without proper validation.</t>
  </si>
  <si>
    <t>V1.3.7</t>
  </si>
  <si>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</si>
  <si>
    <t>No template engine is explicitly defined in the design, but if dynamic content rendering is introduced, input validation and strict separation between templates and user data must be enforced.</t>
  </si>
  <si>
    <t>V1.3.8</t>
  </si>
  <si>
    <t>Verify that the application appropriately sanitizes untrusted input before use in Java Naming and Directory Interface (JNDI) queries and that JNDI is configured securely to prevent JNDI injection attacks.</t>
  </si>
  <si>
    <t>V1.3.9</t>
  </si>
  <si>
    <t>Verify that the application sanitizes content before it is sent to memcache to prevent injection attacks.</t>
  </si>
  <si>
    <t>V1.3.10</t>
  </si>
  <si>
    <t>Verify that format strings which might resolve in an unexpected or malicious way when used are sanitized before being processed.</t>
  </si>
  <si>
    <t>Input validation is defined, but no explicit handling of format string risks is described in the design.</t>
  </si>
  <si>
    <t>V1.3.11</t>
  </si>
  <si>
    <t>Verify that the application sanitizes user input before passing to mail systems to protect against SMTP or IMAP injection.</t>
  </si>
  <si>
    <t>V1.3.12</t>
  </si>
  <si>
    <t>Verify that regular expressions are free from elements causing exponential backtracking, and ensure untrusted input is sanitized to mitigate ReDoS or Runaway Regex attacks.</t>
  </si>
  <si>
    <t>Input validation is required, but no constraints on regex complexity or protections against ReDoS attacks are defined in the design.</t>
  </si>
  <si>
    <t>V1.4</t>
  </si>
  <si>
    <t>Memory, String, and Unmanaged Code</t>
  </si>
  <si>
    <t>V1.4.1</t>
  </si>
  <si>
    <t>Verify that the application uses memory-safe string, safer memory copy and pointer arithmetic to detect or prevent stack, buffer, or heap overflows.</t>
  </si>
  <si>
    <t>V1.4.2</t>
  </si>
  <si>
    <t>Verify that sign, range, and input validation techniques are used to prevent integer overflows.</t>
  </si>
  <si>
    <t>V1.4.3</t>
  </si>
  <si>
    <t>Verify that dynamically allocated memory and resources are released, and that references or pointers to freed memory are removed or set to null to prevent dangling pointers and use-after-free vulnerabilities.</t>
  </si>
  <si>
    <t>V1.5</t>
  </si>
  <si>
    <t>Safe Deserialization</t>
  </si>
  <si>
    <t>V1.5.1</t>
  </si>
  <si>
    <t>Verify that the application configures XML parsers to use a restrictive configuration and that unsafe features such as resolving external entities are disabled to prevent XML eXternal Entity (XXE) attacks.</t>
  </si>
  <si>
    <t>The current Sprint 1 implementation does not parse user-supplied XML documents.</t>
  </si>
  <si>
    <t>Current implementation scope</t>
  </si>
  <si>
    <t>V1.5.2</t>
  </si>
  <si>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</si>
  <si>
    <t>The design does not specify secure parser configurations or restrictions for deserialization of untrusted data.</t>
  </si>
  <si>
    <t>V1.5.3</t>
  </si>
  <si>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</si>
  <si>
    <t>V2.1</t>
  </si>
  <si>
    <t>Validation and Business Logic Documentation</t>
  </si>
  <si>
    <t>V2.1.1</t>
  </si>
  <si>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</si>
  <si>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Sprint 1 documents validation rules for DTOs, tracking codes, filenames, MIME types, extensions, file size and business states.</t>
  </si>
  <si>
    <t>Sprint 1 report ?6, ?7, ?13; DTO classes; FileStorageService.java</t>
  </si>
  <si>
    <t>V2.1.2</t>
  </si>
  <si>
    <t>Verify that the application's documentation defines how to validate the logical and contextual consistency of combined data items, such as checking that suburb and ZIP code match.</t>
  </si>
  <si>
    <t>Contextual rules are implemented for analyst ownership, closed-case handling, evidence packages and backups, but a full business rule catalogue is not yet complete.</t>
  </si>
  <si>
    <t>ReportService.java; CasePackageService.java; AnalystCaseOwnershipTest; ClosedCaseSecurityTest</t>
  </si>
  <si>
    <t>V2.1.3</t>
  </si>
  <si>
    <t>Verify that expectations for business logic limits and validations are documented, including both per-user and globally across the application.</t>
  </si>
  <si>
    <t>Upload size limits and rate limits are implemented. Global storage quotas and distributed rate limiting remain future work.</t>
  </si>
  <si>
    <t>RateLimiterService.java; RateLimitProperties.java; FileStorageService.java; Sprint 1 report ?7</t>
  </si>
  <si>
    <t>V2.2</t>
  </si>
  <si>
    <t>Input Validation</t>
  </si>
  <si>
    <t>V2.2.1</t>
  </si>
  <si>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</si>
  <si>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Security-sensitive inputs are validated server-side using Jakarta Bean Validation, domain primitives and service-level checks.</t>
  </si>
  <si>
    <t>DTO package; TrackingCode.java; SafeFilename.java; ReportDescription.java; FileStorageServiceTest</t>
  </si>
  <si>
    <t>V2.2.2</t>
  </si>
  <si>
    <t>Verify that the application is designed to enforce input validation at a trusted service layer. While client-side validation improves usability and should be encouraged, it must not be relied upon as a security control.</t>
  </si>
  <si>
    <t>Validation and authorization are enforced in the trusted Spring backend rather than relying on client-side JavaScript.</t>
  </si>
  <si>
    <t>Controller/service layer; SecurityConfig.java</t>
  </si>
  <si>
    <t>V2.2.3</t>
  </si>
  <si>
    <t>Verify that the application ensures that combinations of related data items are reasonable according to the pre-defined rules.</t>
  </si>
  <si>
    <t>Cross-field and business-context validation rules are not explicitly defined in the design.</t>
  </si>
  <si>
    <t>DESOFS Phase 1: input validation in mitigations §11 and tests §12</t>
  </si>
  <si>
    <t>V2.3</t>
  </si>
  <si>
    <t>Business Logic Security</t>
  </si>
  <si>
    <t>V2.3.1</t>
  </si>
  <si>
    <t>Verify that the application will only process business logic flows for the same user in the expected sequential step order and without skipping steps.</t>
  </si>
  <si>
    <t>Main flows enforce expected sequence and state checks, including tracking-code verification, closed-case restrictions and evidence package generation only for closed cases.</t>
  </si>
  <si>
    <t>PublicReportFlowIntegrationTest; ClosedCaseSecurityTest; CasePackageServiceIntegrationTest</t>
  </si>
  <si>
    <t>V2.3.2</t>
  </si>
  <si>
    <t>Verify that business logic limits are implemented per the application's documentation to avoid business logic flaws being exploited.</t>
  </si>
  <si>
    <t>Documented limits/quotas/rate limiting are part of the threat mitigations.</t>
  </si>
  <si>
    <t>DESOFS Phase 1: DFD/trust boundaries §9; STRIDE §10; mitigations §11</t>
  </si>
  <si>
    <t>V2.3.3</t>
  </si>
  <si>
    <t>Verify that transactions are being used at the business logic level such that either a business logic operation succeeds in its entirety or it is rolled back to the previous correct state.</t>
  </si>
  <si>
    <t>Transactional rollback behavior for report/file/document creation should be specified during implementation.</t>
  </si>
  <si>
    <t>DESOFS Phase 1: Project design (no explicit transaction handling defined)</t>
  </si>
  <si>
    <t>V2.3.4</t>
  </si>
  <si>
    <t>Verify that business logic level locking mechanisms are used to ensure that limited quantity resources (such as theater seats or delivery slots) cannot be double-booked by manipulating the application's logic.</t>
  </si>
  <si>
    <t>V2.3.5</t>
  </si>
  <si>
    <t>Verify that high-value business logic flows require multi-user approval to prevent unauthorized or accidental actions. This could include but is not limited to large monetary transfers, contract approvals, access to classified information, or safety overrides in manufacturing.</t>
  </si>
  <si>
    <t>V2.4</t>
  </si>
  <si>
    <t>Anti-automation</t>
  </si>
  <si>
    <t>V2.4.1</t>
  </si>
  <si>
    <t>Verify that anti-automation controls are in place to protect against excessive calls to application functions that could lead to data exfiltration, garbage-data creation, quota exhaustion, rate-limit breaches, denial-of-service, or overuse of costly resources.</t>
  </si>
  <si>
    <t>Anti-automation and rate limiting are explicit mitigations for spam, brute force, and DoS.</t>
  </si>
  <si>
    <t>V2.4.2</t>
  </si>
  <si>
    <t>Verify that business logic flows require realistic human timing, preventing excessively rapid transaction submissions.</t>
  </si>
  <si>
    <t>Human-timing defenses may help abuse resistance but are not yet specified.</t>
  </si>
  <si>
    <t>V3.1</t>
  </si>
  <si>
    <t>Web Frontend Security Documentation</t>
  </si>
  <si>
    <t>V3.1.1</t>
  </si>
  <si>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</si>
  <si>
    <t>Backend project may later have a browser client; frontend/browser controls are mostly still to be specified.</t>
  </si>
  <si>
    <t>V3.2</t>
  </si>
  <si>
    <t>Unintended Content Interpretation</t>
  </si>
  <si>
    <t>V3.2.1</t>
  </si>
  <si>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</si>
  <si>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Security headers are configured and uploaded files are stored outside the static web root. Additional download hardening and browser isolation policies remain future work.</t>
  </si>
  <si>
    <t>SecurityConfig.java; FileStorageService.java; ZAP report</t>
  </si>
  <si>
    <t>V3.2.2</t>
  </si>
  <si>
    <t>Verify that content intended to be displayed as text, rather than rendered as HTML, is handled using safe rendering functions (such as createTextNode or textContent) to prevent unintended execution of content such as HTML or JavaScript.</t>
  </si>
  <si>
    <t>Not applicable in the current backend-only design; this would only be relevant if a browser-based client were introduced.</t>
  </si>
  <si>
    <t>N/A – frontend/browser functionality not in current system scope</t>
  </si>
  <si>
    <t>V3.2.3</t>
  </si>
  <si>
    <t>Verify that the application avoids DOM clobbering when using client-side JavaScript by employing explicit variable declarations, performing strict type checking, avoiding storing global variables on the document object, and implementing namespace isolation.</t>
  </si>
  <si>
    <t>V3.3</t>
  </si>
  <si>
    <t>Cookie Setup</t>
  </si>
  <si>
    <t>V3.3.1</t>
  </si>
  <si>
    <t>Verify that cookies have the 'Secure' attribute set, and if the '\__Host-' prefix is not used for the cookie name, the '__Secure-' prefix must be used for the cookie name.</t>
  </si>
  <si>
    <t>Secure and HttpOnly cookies are explicitly required for authenticated staff sessions.</t>
  </si>
  <si>
    <t>DESOFS Phase 1: §5.1 RS1-RS3; AC5/AC8/AC11; STRIDE P5/P6; §12 tests</t>
  </si>
  <si>
    <t>V3.3.2</t>
  </si>
  <si>
    <t>Verify that each cookie's 'SameSite' attribute value is set according to the purpose of the cookie, to limit exposure to user interface redress attacks and browser-based request forgery attacks, commonly known as cross-site request forgery (CSRF).</t>
  </si>
  <si>
    <t>Cookies are in scope for staff sessions, but SameSite/prefix details are not yet specified.</t>
  </si>
  <si>
    <t>V3.3.3</t>
  </si>
  <si>
    <t>Verify that cookies have the '__Host-' prefix for the cookie name unless they are explicitly designed to be shared with other hosts.</t>
  </si>
  <si>
    <t>V3.3.4</t>
  </si>
  <si>
    <t>Verify that if the value of a cookie is not meant to be accessible to client-side scripts (such as a session token), the cookie must have the 'HttpOnly' attribute set and the same value (e. g. session token) must only be transferred to the client via the 'Set-Cookie' header field.</t>
  </si>
  <si>
    <t>V3.3.5</t>
  </si>
  <si>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</si>
  <si>
    <t>Browser cookie behavior is partly covered through secure session requirements; exact header details pending.</t>
  </si>
  <si>
    <t>V3.4</t>
  </si>
  <si>
    <t>Browser Security Mechanism Headers</t>
  </si>
  <si>
    <t>V3.4.1</t>
  </si>
  <si>
    <t>Verify that a Strict-Transport-Security header field is included on all responses to enforce an HTTP Strict Transport Security (HSTS) policy. A maximum age of at least 1 year must be defined, and for L2 and up, the policy must apply to all subdomains as well.</t>
  </si>
  <si>
    <t>HSTS is configured in Spring Security with includeSubDomains and max-age.</t>
  </si>
  <si>
    <t>SecurityConfig.java; SecurityHeadersTest</t>
  </si>
  <si>
    <t>V3.4.2</t>
  </si>
  <si>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</si>
  <si>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API is browser-consumable; origin allowlist/CORS policy should be documented in implementation.</t>
  </si>
  <si>
    <t>DESOFS Phase 1: DFD/trust boundaries §9; STRIDE §10; mitigations §13</t>
  </si>
  <si>
    <t>V3.4.3</t>
  </si>
  <si>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</si>
  <si>
    <t>Not applicable in the current backend-only design; would be relevant if a browser-based client is introduced.</t>
  </si>
  <si>
    <t>V3.4.4</t>
  </si>
  <si>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</si>
  <si>
    <t>V3.4.5</t>
  </si>
  <si>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</si>
  <si>
    <t>V3.4.6</t>
  </si>
  <si>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</si>
  <si>
    <t>V3.4.7</t>
  </si>
  <si>
    <t>Verify that the Content-Security-Policy header field specifies a location to report violations.</t>
  </si>
  <si>
    <t>V3.4.8</t>
  </si>
  <si>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</si>
  <si>
    <t>V3.5</t>
  </si>
  <si>
    <t>Browser Origin Separation</t>
  </si>
  <si>
    <t>V3.5.1</t>
  </si>
  <si>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</si>
  <si>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No explicit CSRF or origin validation mechanism is defined in the backend design.</t>
  </si>
  <si>
    <t>V3.5.2</t>
  </si>
  <si>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</si>
  <si>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CORS policy and origin validation are not explicitly defined in the design.</t>
  </si>
  <si>
    <t>V3.5.3</t>
  </si>
  <si>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</si>
  <si>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Sensitive operations use explicit Spring MVC HTTP method mappings and unsupported methods are handled consistently.</t>
  </si>
  <si>
    <t>Controller classes; GlobalExceptionHandler.java</t>
  </si>
  <si>
    <t>V3.5.4</t>
  </si>
  <si>
    <t>Verify that separate applications are hosted on different hostnames to leverage the restrictions provided by same-origin policy, including how documents or scripts loaded by one origin can interact with resources from another origin and hostname-based restrictions on cookies.</t>
  </si>
  <si>
    <t>Application deployment across different origins/hostnames is not defined in the design.</t>
  </si>
  <si>
    <t>V3.5.5</t>
  </si>
  <si>
    <t>Verify that messages received by the postMessage interface are discarded if the origin of the message is not trusted, or if the syntax of the message is invalid.</t>
  </si>
  <si>
    <t>V3.5.6</t>
  </si>
  <si>
    <t>Verify that JSONP functionality is not enabled anywhere across the application to avoid Cross-Site Script Inclusion (XSSI) attacks.</t>
  </si>
  <si>
    <t>No JSONP usage or related protections are defined in the backend design.</t>
  </si>
  <si>
    <t>V3.5.7</t>
  </si>
  <si>
    <t>Verify that data requiring authorization is not included in script resource responses, like JavaScript files, to prevent Cross-Site Script Inclusion (XSSI) attacks.</t>
  </si>
  <si>
    <t>V3.5.8</t>
  </si>
  <si>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</si>
  <si>
    <t>No controls for restricting cross-origin resource loading are defined in the design.</t>
  </si>
  <si>
    <t>V3.6</t>
  </si>
  <si>
    <t>External Resource Integrity</t>
  </si>
  <si>
    <t>V3.6.1</t>
  </si>
  <si>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</si>
  <si>
    <t>backend-only API; browser/UI feature not in scope</t>
  </si>
  <si>
    <t>V3.7</t>
  </si>
  <si>
    <t>Other Browser Security Considerations</t>
  </si>
  <si>
    <t>V3.7.1</t>
  </si>
  <si>
    <t>Verify that the application only uses client-side technologies which are still supported and considered secure. Examples of technologies which do not meet this requirement include NSAPI plugins, Flash, Shockwave, ActiveX, Silverlight, NACL, or client-side Java applets.</t>
  </si>
  <si>
    <t>V3.7.2</t>
  </si>
  <si>
    <t>Verify that the application will only automatically redirect the user to a different hostname or domain (which is not controlled by the application) where the destination appears on an allowlist.</t>
  </si>
  <si>
    <t>V3.7.3</t>
  </si>
  <si>
    <t>Verify that the application shows a notification when the user is being redirected to a URL outside of the application's control, with an option to cancel the navigation.</t>
  </si>
  <si>
    <t>V3.7.4</t>
  </si>
  <si>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</si>
  <si>
    <t>HTTPS is required, but HSTS preload configuration is not defined.</t>
  </si>
  <si>
    <t>DESOFS Phase 1: assumptions §2.2 HTTPS; §5.3 RS7; AC9/AC10</t>
  </si>
  <si>
    <t>V3.7.5</t>
  </si>
  <si>
    <t>Verify that the application behaves as documented (such as warning the user or blocking access) if the browser used to access the application does not support the expected security features.</t>
  </si>
  <si>
    <t>No browser-specific behavior or fallback mechanisms are defined in the design.</t>
  </si>
  <si>
    <t>V4.1</t>
  </si>
  <si>
    <t>Generic Web Service Security</t>
  </si>
  <si>
    <t>V4.1.1</t>
  </si>
  <si>
    <t>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</si>
  <si>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API responses are produced by Spring MVC and error responses are centralized as JSON through GlobalExceptionHandler.</t>
  </si>
  <si>
    <t>GlobalExceptionHandler.java; controller package</t>
  </si>
  <si>
    <t>V4.1.2</t>
  </si>
  <si>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</si>
  <si>
    <t>HTTPS is required, but redirect behavior between HTTP and HTTPS is not defined.</t>
  </si>
  <si>
    <t>V4.1.3</t>
  </si>
  <si>
    <t>Verify that any HTTP header field used by the application and set by an intermediary layer, such as a load balancer, a web proxy, or a backend-for-frontend service, cannot be overridden by the end-user. Example headers might include X-Real-IP, X-Forwarded-*, or X-User-ID.</t>
  </si>
  <si>
    <t>Proxy/load balancer header trust policy is not yet documented.</t>
  </si>
  <si>
    <t>V4.1.4</t>
  </si>
  <si>
    <t>Verify that only HTTP methods that are explicitly supported by the application or its API (including OPTIONS during preflight requests) can be used and that unused methods are blocked.</t>
  </si>
  <si>
    <t>Only explicitly mapped HTTP methods are supported by each controller endpoint; unsupported methods are rejected by Spring MVC.</t>
  </si>
  <si>
    <t>V4.1.5</t>
  </si>
  <si>
    <t>Verify that per-message digital signatures are used to provide additional assurance on top of transport protections for requests or transactions which are highly sensitive or which traverse a number of systems.</t>
  </si>
  <si>
    <t>V4.2</t>
  </si>
  <si>
    <t>HTTP Message Structure Validation</t>
  </si>
  <si>
    <t>V4.2.1</t>
  </si>
  <si>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</si>
  <si>
    <t>HTTP message parsing, header validation, and request handling controls are not explicitly defined in the system design.</t>
  </si>
  <si>
    <t>V4.2.2</t>
  </si>
  <si>
    <t>Verify that when generating HTTP messages, the Content-Length header field does not conflict with the length of the content as determined by the framing of the HTTP protocol, in order to prevent request smuggling attacks.</t>
  </si>
  <si>
    <t>V4.2.3</t>
  </si>
  <si>
    <t>Verify that the application does not send nor accept HTTP/2 or HTTP/3 messages with connection-specific header fields such as Transfer-Encoding to prevent response splitting and header injection attacks.</t>
  </si>
  <si>
    <t>V4.2.4</t>
  </si>
  <si>
    <t>Verify that the application only accepts HTTP/2 and HTTP/3 requests where the header fields and values do not contain any CR (\r), LF (\n), or CRLF (\r\n) sequences, to prevent header injection attacks.</t>
  </si>
  <si>
    <t>V4.2.5</t>
  </si>
  <si>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</si>
  <si>
    <t>Input validation and request size constraints are not explicitly defined in the design.</t>
  </si>
  <si>
    <t>V4.3</t>
  </si>
  <si>
    <t>GraphQL</t>
  </si>
  <si>
    <t>V4.3.1</t>
  </si>
  <si>
    <t>Verify that a query allowlist, depth limiting, amount limiting, or query cost analysis is used to prevent GraphQL or data layer expression Denial of Service (DoS) as a result of expensive, nested queries.</t>
  </si>
  <si>
    <t>Not applicable – the application does not expose a GraphQL interface.</t>
  </si>
  <si>
    <t>N/A – GraphQL not in current system scope</t>
  </si>
  <si>
    <t>V4.3.2</t>
  </si>
  <si>
    <t>Verify that GraphQL introspection queries are disabled in the production environment unless the GraphQL API is meant to be used by other parties.</t>
  </si>
  <si>
    <t>V4.4</t>
  </si>
  <si>
    <t>WebSocket</t>
  </si>
  <si>
    <t>V4.4.1</t>
  </si>
  <si>
    <t>Verify that WebSocket over TLS (WSS) is used for all WebSocket connections.</t>
  </si>
  <si>
    <t>Not applicable – the application does not use WebSocket communication.</t>
  </si>
  <si>
    <t>N/A – WebSocket not in current system scope</t>
  </si>
  <si>
    <t>V4.4.2</t>
  </si>
  <si>
    <t>Verify that, during the initial HTTP WebSocket handshake, the Origin header field is checked against a list of origins allowed for the application.</t>
  </si>
  <si>
    <t>V4.4.3</t>
  </si>
  <si>
    <t>Verify that, if the application's standard session management cannot be used, dedicated tokens are being used for this, which comply with the relevant Session Management security requirements.</t>
  </si>
  <si>
    <t>WebSocket session management and token handling are not defined in the design.</t>
  </si>
  <si>
    <t>V4.4.4</t>
  </si>
  <si>
    <t>Verify that dedicated WebSocket session management tokens are initially obtained or validated through the previously authenticated HTTPS session when transitioning an existing HTTPS session to a WebSocket channel.</t>
  </si>
  <si>
    <t>V5.1</t>
  </si>
  <si>
    <t>File Handling Documentation</t>
  </si>
  <si>
    <t>V5.1.1</t>
  </si>
  <si>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</si>
  <si>
    <t>Allowed file types, extensions and maximum file size are documented and implemented. Real malware scanning and full malicious-file workflow are not implemented yet.</t>
  </si>
  <si>
    <t>Sprint 1 report ?6; FileStorageService.java</t>
  </si>
  <si>
    <t>V5.2</t>
  </si>
  <si>
    <t>File Upload and Content</t>
  </si>
  <si>
    <t>V5.2.1</t>
  </si>
  <si>
    <t>Verify that the application will only accept files of a size which it can process without causing a loss of performance or a denial of service attack.</t>
  </si>
  <si>
    <t>Each uploaded file is limited to 10 MB before processing.</t>
  </si>
  <si>
    <t>FileStorageService.java; FileStorageServiceTest</t>
  </si>
  <si>
    <t>V5.2.2</t>
  </si>
  <si>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</si>
  <si>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Uploads are validated by MIME type, extension and magic bytes/signature for supported file types.</t>
  </si>
  <si>
    <t>FileStorageService.java; ReportControllerAttachmentUploadTest; FileStorageServiceTest</t>
  </si>
  <si>
    <t>V5.2.3</t>
  </si>
  <si>
    <t>Verify that the application checks compressed files (e.g., zip, gz, docx, odt) against maximum allowed uncompressed size and against maximum number of files before uncompressing the file.</t>
  </si>
  <si>
    <t>Not applicable – the documented upload scope does not include compressed archive handling.</t>
  </si>
  <si>
    <t>N/A – archive upload handling not in current system scope</t>
  </si>
  <si>
    <t>V5.2.4</t>
  </si>
  <si>
    <t>Verify that a file size quota and maximum number of files per user are enforced to ensure that a single user cannot fill up the storage with too many files, or excessively large files.</t>
  </si>
  <si>
    <t>Per-file size limits and upload rate limiting exist, but global/user storage quotas and maximum file count quotas are not implemented.</t>
  </si>
  <si>
    <t>RateLimiterService.java; FileStorageService.java; Sprint 1 limitations</t>
  </si>
  <si>
    <t>V5.2.5</t>
  </si>
  <si>
    <t>Verify that the application does not allow uploading compressed files containing symlinks unless this is specifically required (in which case it will be necessary to enforce an allowlist of the files that can be symlinked to).</t>
  </si>
  <si>
    <t>V5.2.6</t>
  </si>
  <si>
    <t>Verify that the application rejects uploaded images with a pixel size larger than the maximum allowed, to prevent pixel flood attacks.</t>
  </si>
  <si>
    <t>Not applicable – the design does not include image-processing functionality requiring pixel flood controls.</t>
  </si>
  <si>
    <t>N/A – image processing not in current system scope</t>
  </si>
  <si>
    <t>V5.3</t>
  </si>
  <si>
    <t>File Storage</t>
  </si>
  <si>
    <t>V5.3.1</t>
  </si>
  <si>
    <t>Verify that files uploaded or generated by untrusted input and stored in a public folder, are not executed as server-side program code when accessed directly with an HTTP request.</t>
  </si>
  <si>
    <t>Uploaded files are stored in a controlled directory outside the static frontend resources and are not executed as server-side code.</t>
  </si>
  <si>
    <t>FileStorageService.java</t>
  </si>
  <si>
    <t>V5.3.2</t>
  </si>
  <si>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</si>
  <si>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Stored filenames are generated internally using UUID/file references instead of trusting user-submitted filenames.</t>
  </si>
  <si>
    <t>FileStorageService.java; SafeFilename.java</t>
  </si>
  <si>
    <t>V5.3.3</t>
  </si>
  <si>
    <t>Verify that server-side file processing, such as file decompression, ignores user-provided path information to prevent vulnerabilities such as zip slip.</t>
  </si>
  <si>
    <t>Not applicable – server-side file decompression is not part of the current design.</t>
  </si>
  <si>
    <t>N/A – decompression not in current system scope</t>
  </si>
  <si>
    <t>V5.4</t>
  </si>
  <si>
    <t>File Download</t>
  </si>
  <si>
    <t>V5.4.1</t>
  </si>
  <si>
    <t>Verify that the application validates or ignores user-submitted filenames, including in a JSON, JSONP, or URL parameter and specifies a filename in the Content-Disposition header field in the response.</t>
  </si>
  <si>
    <t>User-submitted filenames are validated/sanitized by SafeFilename and dangerous path separators/extensions are rejected.</t>
  </si>
  <si>
    <t>SafeFilename.java; SafeFilenameTest; SafeFilenameSecurityTest</t>
  </si>
  <si>
    <t>V5.4.2</t>
  </si>
  <si>
    <t>Verify that file names served (e.g., in HTTP response header fields or email attachments) are encoded or sanitized (e.g., following RFC 6266) to preserve document structure and prevent injection attacks.</t>
  </si>
  <si>
    <t>Stored names are safe and generated internally. Further Content-Disposition filename encoding hardening can be improved in future work.</t>
  </si>
  <si>
    <t>FileStorageService.java; ReportService.java</t>
  </si>
  <si>
    <t>V5.4.3</t>
  </si>
  <si>
    <t>Verify that files obtained from untrusted sources are scanned by antivirus scanners to prevent serving of known malicious content.</t>
  </si>
  <si>
    <t>Real antivirus or malware scanning is not implemented in Sprint 1. Current controls are validation/allowlisting only.</t>
  </si>
  <si>
    <t>Sprint 1 limitations</t>
  </si>
  <si>
    <t>V6.1</t>
  </si>
  <si>
    <t>Authentication Documentation</t>
  </si>
  <si>
    <t>V6.1.1</t>
  </si>
  <si>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</si>
  <si>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Rate limiting is documented and implemented for public tracking/upload/download flows, but login-specific brute-force protection is not yet implemented.</t>
  </si>
  <si>
    <t>RateLimiterService.java; Sprint 1 report ?7</t>
  </si>
  <si>
    <t>V6.1.2</t>
  </si>
  <si>
    <t>Verify that a list of context-specific words is documented in order to prevent their use in passwords. The list could include permutations of organization names, product names, system identifiers, project codenames, department or role names, and similar.</t>
  </si>
  <si>
    <t>No context-specific password denylist is defined in the design.</t>
  </si>
  <si>
    <t>DESOFS Phase 1: §6.1 RS2; §6.3 RS8</t>
  </si>
  <si>
    <t>V6.1.3</t>
  </si>
  <si>
    <t>Verify that, if the application includes multiple authentication pathways, these are all documented together with the security controls and authentication strength which must be consistently enforced across them.</t>
  </si>
  <si>
    <t>Only one authenticated pathway for internal users is defined in the design.</t>
  </si>
  <si>
    <t>DESOFS Phase 1: §2.1 Stakeholders; §6.1 RS2</t>
  </si>
  <si>
    <t>V6.2</t>
  </si>
  <si>
    <t>Password Security</t>
  </si>
  <si>
    <t>V6.2.1</t>
  </si>
  <si>
    <t>Verify that user set passwords are at least 8 characters in length although a minimum of 15 characters is strongly recommended.</t>
  </si>
  <si>
    <t>Admin-created user passwords require 12 to 128 characters.</t>
  </si>
  <si>
    <t>CreateUserRequest.java</t>
  </si>
  <si>
    <t>V6.2.2</t>
  </si>
  <si>
    <t>Verify that users can change their password.</t>
  </si>
  <si>
    <t>Internal user authentication is in scope, but the password policy is not explicitly defined in the design.</t>
  </si>
  <si>
    <t>DESOFS Phase 1: §6.1 RS2; §6.3 RS9</t>
  </si>
  <si>
    <t>V6.2.3</t>
  </si>
  <si>
    <t>Verify that password change functionality requires the user's current and new password.</t>
  </si>
  <si>
    <t>DESOFS Phase 1: §6.1 RS2; §6.3 RS10</t>
  </si>
  <si>
    <t>V6.2.4</t>
  </si>
  <si>
    <t>Verify that passwords submitted during account registration or password change are checked against an available set of, at least, the top 3000 passwords which match the application's password policy, e.g. minimum length.</t>
  </si>
  <si>
    <t>DESOFS Phase 1: §6.1 RS2; §6.3 RS11</t>
  </si>
  <si>
    <t>V6.2.5</t>
  </si>
  <si>
    <t>Verify that passwords of any composition can be used, without rules limiting the type of characters permitted. There must be no requirement for a minimum number of upper or lower case characters, numbers, or special characters.</t>
  </si>
  <si>
    <t>Passwords may include special characters and are not modified before verification, but the current policy enforces composition rules, so further ASVS alignment is possible.</t>
  </si>
  <si>
    <t>V6.2.6</t>
  </si>
  <si>
    <t>Verify that password input fields use type=password to mask the entry. Applications may allow the user to temporarily view the entire masked password, or the last typed character of the password.</t>
  </si>
  <si>
    <t>V6.2.7</t>
  </si>
  <si>
    <t>Verify that "paste" functionality, browser password helpers, and external password managers are permitted.</t>
  </si>
  <si>
    <t>V6.2.8</t>
  </si>
  <si>
    <t>Verify that the application verifies the user's password exactly as received from the user, without any modifications such as truncation or case transformation.</t>
  </si>
  <si>
    <t>Passwords are passed to Spring Security authentication/password encoding without trimming, case conversion or other normalization by the application.</t>
  </si>
  <si>
    <t>AuthService.java; UserService.java</t>
  </si>
  <si>
    <t>V6.2.9</t>
  </si>
  <si>
    <t>Verify that passwords of at least 64 characters are permitted.</t>
  </si>
  <si>
    <t>Password handling requirements for internal users are in scope, but these controls are not explicitly defined in the design.</t>
  </si>
  <si>
    <t>V6.2.10</t>
  </si>
  <si>
    <t>Verify that a user's password stays valid until it is discovered to be compromised or the user rotates it. The application must not require periodic credential rotation.</t>
  </si>
  <si>
    <t>V6.2.11</t>
  </si>
  <si>
    <t>Verify that the documented list of context specific words is used to prevent easy to guess passwords being created.</t>
  </si>
  <si>
    <t>V6.2.12</t>
  </si>
  <si>
    <t>Verify that passwords submitted during account registration or password changes are checked against a set of breached passwords.</t>
  </si>
  <si>
    <t>DESOFS Phase 1: §6.1 RS2; §6.3 RS12</t>
  </si>
  <si>
    <t>V6.3</t>
  </si>
  <si>
    <t>General Authentication Security</t>
  </si>
  <si>
    <t>V6.3.1</t>
  </si>
  <si>
    <t>Verify that controls to prevent attacks such as credential stuffing and password brute force are implemented according to the application's security documentation.</t>
  </si>
  <si>
    <t>Credential brute-force controls are planned. Current Sprint 1 rate limiting focuses on public report flows, not login attempts.</t>
  </si>
  <si>
    <t>Sprint 1 report ?7; RateLimiterService.java</t>
  </si>
  <si>
    <t>V6.3.2</t>
  </si>
  <si>
    <t>Verify that default user accounts (e.g., "root", "admin", or "sa") are not present in the application or are disabled.</t>
  </si>
  <si>
    <t>Seed users are restricted to dev/test profiles and controlled by configuration, avoiding automatic production default accounts.</t>
  </si>
  <si>
    <t>DataInitializer.java; DataInitializerDisabledTest</t>
  </si>
  <si>
    <t>V6.3.3</t>
  </si>
  <si>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</si>
  <si>
    <t>MFA is not implemented in Sprint 1 and remains future work for privileged roles.</t>
  </si>
  <si>
    <t>V6.3.4</t>
  </si>
  <si>
    <t>Verify that, if the application includes multiple authentication pathways, there are no undocumented pathways and that security controls and authentication strength are enforced consistently.</t>
  </si>
  <si>
    <t>Only one authenticated pathway for staff users is defined in the design.</t>
  </si>
  <si>
    <t>DESOFS Phase 1: §6.1 RS2</t>
  </si>
  <si>
    <t>V6.3.5</t>
  </si>
  <si>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</si>
  <si>
    <t>Advanced authentication notification/anti-enumeration controls are relevant but not yet specified.</t>
  </si>
  <si>
    <t>V6.3.6</t>
  </si>
  <si>
    <t>Verify that email is not used as either a single-factor or multi-factor authentication mechanism.</t>
  </si>
  <si>
    <t>Email-based authentication is not part of the authentication design.</t>
  </si>
  <si>
    <t>DESOFS Phase 1: §6.1 RS2-RS3</t>
  </si>
  <si>
    <t>V6.3.7</t>
  </si>
  <si>
    <t>Verify that users are notified after updates to authentication details, such as credential resets or modification of the username or email address.</t>
  </si>
  <si>
    <t>V6.3.8</t>
  </si>
  <si>
    <t>Verify that valid users cannot be deduced from failed authentication challenges, such as by basing on error messages, HTTP response codes, or different response times. Registration and forgot password functionality must also have this protection.</t>
  </si>
  <si>
    <t>V6.4</t>
  </si>
  <si>
    <t>Authentication Factor Lifecycle and Recovery</t>
  </si>
  <si>
    <t>V6.4.1</t>
  </si>
  <si>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</si>
  <si>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The application does not generate initial passwords or activation codes for users; admin supplies passwords subject to validation.</t>
  </si>
  <si>
    <t>AdminController.java; CreateUserRequest.java</t>
  </si>
  <si>
    <t>V6.4.2</t>
  </si>
  <si>
    <t>Verify that password hints or knowledge-based authentication (so-called "secret questions") are not present.</t>
  </si>
  <si>
    <t>Password hints and security questions are not part of the authentication design.</t>
  </si>
  <si>
    <t>V6.4.3</t>
  </si>
  <si>
    <t>Verify that a secure process for resetting a forgotten password is implemented, that does not bypass any enabled multi-factor authentication mechanisms.</t>
  </si>
  <si>
    <t>Recovery/reset processes for internal users are possible but not yet specified in detail.</t>
  </si>
  <si>
    <t>V6.4.4</t>
  </si>
  <si>
    <t>Verify that if a multi-factor authentication factor is lost, evidence of identity proofing is performed at the same level as during enrollment.</t>
  </si>
  <si>
    <t>MFA recovery is not applicable because MFA is not defined in the current design.</t>
  </si>
  <si>
    <t>V6.4.5</t>
  </si>
  <si>
    <t>Verify that renewal instructions for authentication mechanisms which expire are sent with enough time to be carried out before the old authentication mechanism expires, configuring automated reminders if necessary.</t>
  </si>
  <si>
    <t>V6.4.6</t>
  </si>
  <si>
    <t>Verify that administrative users can initiate the password reset process for the user, but that this does not allow them to change or choose the user's password. This prevents a situation where they know the user's password.</t>
  </si>
  <si>
    <t>V6.5</t>
  </si>
  <si>
    <t>General Multi-factor authentication requirements</t>
  </si>
  <si>
    <t>V6.5.1</t>
  </si>
  <si>
    <t>Verify that lookup secrets, out-of-band authentication requests or codes, and time-based one-time passwords (TOTPs) are only successfully usable once.</t>
  </si>
  <si>
    <t>Not applicable – the current authentication design does not include MFA, out-of-band methods, cryptographic assertions, or external identity providers.</t>
  </si>
  <si>
    <t>N/A – not in current authentication scope</t>
  </si>
  <si>
    <t>V6.5.2</t>
  </si>
  <si>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</si>
  <si>
    <t>V6.5.3</t>
  </si>
  <si>
    <t>Verify that lookup secrets, out-of-band authentication code, and time-based one-time password seeds, are generated using a Cryptographically Secure Pseudorandom Number Generator (CSPRNG) to avoid predictable values.</t>
  </si>
  <si>
    <t>V6.5.4</t>
  </si>
  <si>
    <t>Verify that lookup secrets and out-of-band authentication codes have a minimum of 20 bits of entropy (typically 4 random alphanumeric characters or 6 random digits is sufficient).</t>
  </si>
  <si>
    <t>V6.5.5</t>
  </si>
  <si>
    <t>Verify that out-of-band authentication requests, codes, or tokens, as well as time-based one-time passwords (TOTPs) have a defined lifetime. Out of band requests must have a maximum lifetime of 10 minutes and for TOTP a maximum lifetime of 30 seconds.</t>
  </si>
  <si>
    <t>V6.5.6</t>
  </si>
  <si>
    <t>Verify that any authentication factor (including physical devices) can be revoked in case of theft or other loss.</t>
  </si>
  <si>
    <t>V6.5.7</t>
  </si>
  <si>
    <t>Verify that biometric authentication mechanisms are only used as secondary factors together with either something you have or something you know.</t>
  </si>
  <si>
    <t>V6.5.8</t>
  </si>
  <si>
    <t>Verify that time-based one-time passwords (TOTPs) are checked based on a time source from a trusted service and not from an untrusted or client provided time.</t>
  </si>
  <si>
    <t>V6.6</t>
  </si>
  <si>
    <t>Out-of-Band authentication mechanisms</t>
  </si>
  <si>
    <t>V6.6.1</t>
  </si>
  <si>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</si>
  <si>
    <t>V6.6.2</t>
  </si>
  <si>
    <t>Verify that out-of-band authentication requests, codes, or tokens are bound to the original authentication request for which they were generated and are not usable for a previous or subsequent one.</t>
  </si>
  <si>
    <t>V6.6.3</t>
  </si>
  <si>
    <t>Verify that a code based out-of-band authentication mechanism is protected against brute force attacks by using rate limiting. Consider also using a code with at least 64 bits of entropy.</t>
  </si>
  <si>
    <t>V6.6.4</t>
  </si>
  <si>
    <t>Verify that, where push notifications are used for multi-factor authentication, rate limiting is used to prevent push bombing attacks. Number matching may also mitigate this risk.</t>
  </si>
  <si>
    <t>V6.7</t>
  </si>
  <si>
    <t>Cryptographic authentication mechanism</t>
  </si>
  <si>
    <t>V6.7.1</t>
  </si>
  <si>
    <t>Verify that the certificates used to verify cryptographic authentication assertions are stored in a way protects them from modification.</t>
  </si>
  <si>
    <t>V6.7.2</t>
  </si>
  <si>
    <t>Verify that the challenge nonce is at least 64 bits in length, and statistically unique or unique over the lifetime of the cryptographic device.</t>
  </si>
  <si>
    <t>V6.8</t>
  </si>
  <si>
    <t>Authentication with an Identity Provider</t>
  </si>
  <si>
    <t>V6.8.1</t>
  </si>
  <si>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</si>
  <si>
    <t>V6.8.2</t>
  </si>
  <si>
    <t>Verify that the presence and integrity of digital signatures on authentication assertions (for example on JWTs or SAML assertions) are always validated, rejecting any assertions that are unsigned or have invalid signatures.</t>
  </si>
  <si>
    <t>V6.8.3</t>
  </si>
  <si>
    <t>Verify that SAML assertions are uniquely processed and used only once within the validity period to prevent replay attacks.</t>
  </si>
  <si>
    <t>V6.8.4</t>
  </si>
  <si>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</si>
  <si>
    <t>V7.1</t>
  </si>
  <si>
    <t>Session Management Documentation</t>
  </si>
  <si>
    <t>V7.1.1</t>
  </si>
  <si>
    <t>Verify that the user's session inactivity timeout and absolute maximum session lifetime are documented, are appropriate in combination with other controls, and that the documentation includes justification for any deviations from NIST SP 800-63B re-authentication requirements.</t>
  </si>
  <si>
    <t>JWT lifetime is documented and configurable; default expiration is 3600 seconds.</t>
  </si>
  <si>
    <t>JwtService.java; application.yaml; Sprint 1 report ?3</t>
  </si>
  <si>
    <t>V7.1.2</t>
  </si>
  <si>
    <t>Verify that the documentation defines how many concurrent (parallel) sessions are allowed for one account as well as the intended behaviors and actions to be taken when the maximum number of active sessions is reached.</t>
  </si>
  <si>
    <t>Concurrent-session policy for staff users is not yet documented.</t>
  </si>
  <si>
    <t>V7.1.3</t>
  </si>
  <si>
    <t>Verify that all systems that create and manage user sessions as part of a federated identity management ecosystem (such as SSO systems) are documented along with controls to coordinate session lifetimes, termination, and any other conditions that require re-authentication.</t>
  </si>
  <si>
    <t>Not applicable – the current session design does not use federated identity or SSO.</t>
  </si>
  <si>
    <t>N/A – federated identity not in current system scope</t>
  </si>
  <si>
    <t>V7.2</t>
  </si>
  <si>
    <t>Fundamental Session Management Security</t>
  </si>
  <si>
    <t>V7.2.1</t>
  </si>
  <si>
    <t>Verify that the application performs all session token verification using a trusted, backend service.</t>
  </si>
  <si>
    <t>JWT validation is performed by trusted backend components JwtAuthenticationFilter and JwtService.</t>
  </si>
  <si>
    <t>JwtAuthenticationFilter.java; JwtService.java</t>
  </si>
  <si>
    <t>V7.2.2</t>
  </si>
  <si>
    <t>Verify that the application uses either self-contained or reference tokens that are dynamically generated for session management, i.e. not using static API secrets and keys.</t>
  </si>
  <si>
    <t>Session state is represented by dynamically generated JWT Bearer tokens, not static API secrets.</t>
  </si>
  <si>
    <t>JwtService.java; AuthService.java</t>
  </si>
  <si>
    <t>V7.2.3</t>
  </si>
  <si>
    <t>Verify that if reference tokens are used to represent user sessions, they are unique and generated using a cryptographically secure pseudo-random number generator (CSPRNG) and possess at least 128 bits of entropy.</t>
  </si>
  <si>
    <t>The application uses self-contained JWTs, not reference tokens.</t>
  </si>
  <si>
    <t>JwtService.java</t>
  </si>
  <si>
    <t>V7.2.4</t>
  </si>
  <si>
    <t>Verify that the application generates a new session token on user authentication, including re-authentication, and terminates the current session token.</t>
  </si>
  <si>
    <t>A new JWT is generated on each successful authentication.</t>
  </si>
  <si>
    <t>AuthService.java; JwtService.java</t>
  </si>
  <si>
    <t>V7.3</t>
  </si>
  <si>
    <t>Session Timeout</t>
  </si>
  <si>
    <t>V7.3.1</t>
  </si>
  <si>
    <t>Verify that there is an inactivity timeout such that re-authentication is enforced according to risk analysis and documented security decisions.</t>
  </si>
  <si>
    <t>JWT absolute lifetime is implemented, but inactivity timeout/sliding session behavior is not implemented for stateless tokens.</t>
  </si>
  <si>
    <t>JwtService.java; Sprint 1 limitations</t>
  </si>
  <si>
    <t>V7.3.2</t>
  </si>
  <si>
    <t>Verify that there is an absolute maximum session lifetime such that re-authentication is enforced according to risk analysis and documented security decisions.</t>
  </si>
  <si>
    <t>JWT expiration enforces an absolute maximum lifetime.</t>
  </si>
  <si>
    <t>V7.4</t>
  </si>
  <si>
    <t>Session Termination</t>
  </si>
  <si>
    <t>V7.4.1</t>
  </si>
  <si>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</si>
  <si>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Expired JWTs are rejected, but explicit server-side logout/revocation is not implemented for stateless tokens.</t>
  </si>
  <si>
    <t>JwtService.java; JwtAuthenticationFilter.java</t>
  </si>
  <si>
    <t>V7.4.2</t>
  </si>
  <si>
    <t>Verify that the application terminates all active sessions when a user account is disabled or deleted (such as an employee leaving the company).</t>
  </si>
  <si>
    <t>Disabling/deleting a staff account should terminate sessions, but this behavior is not yet documented.</t>
  </si>
  <si>
    <t>V7.4.3</t>
  </si>
  <si>
    <t>Verify that the application gives the option to terminate all other active sessions after a successful change or removal of any authentication factor (including password change via reset or recovery and, if present, an MFA settings update).</t>
  </si>
  <si>
    <t>Terminate-other-session behavior after auth-factor changes is not yet specified.</t>
  </si>
  <si>
    <t>V7.4.4</t>
  </si>
  <si>
    <t>Verify that all pages that require authentication have easy and visible access to logout functionality.</t>
  </si>
  <si>
    <t>V7.4.5</t>
  </si>
  <si>
    <t>Verify that application administrators are able to terminate active sessions for an individual user or for all users.</t>
  </si>
  <si>
    <t>Admin session revocation capability would fit the design, but is not yet specified.</t>
  </si>
  <si>
    <t>V7.5</t>
  </si>
  <si>
    <t>Defenses Against Session Abuse</t>
  </si>
  <si>
    <t>V7.5.1</t>
  </si>
  <si>
    <t>Verify that the application requires full re-authentication before allowing modifications to sensitive account attributes which may affect authentication such as email address, phone number, MFA configuration, or other information used in account recovery.</t>
  </si>
  <si>
    <t>Sensitive-account-operation re-authentication/session management is not yet fully defined.</t>
  </si>
  <si>
    <t>V7.5.2</t>
  </si>
  <si>
    <t>Verify that users are able to view and (having authenticated again with at least one factor) terminate any or all currently active sessions.</t>
  </si>
  <si>
    <t>V7.5.3</t>
  </si>
  <si>
    <t>Verify that the application requires further authentication with at least one factor or secondary verification before performing highly sensitive transactions or operations.</t>
  </si>
  <si>
    <t>V7.6</t>
  </si>
  <si>
    <t>Federated Re-authentication</t>
  </si>
  <si>
    <t>V7.6.1</t>
  </si>
  <si>
    <t>Verify that session lifetime and termination between Relying Parties (RPs) and Identity Providers (IdPs) behave as documented, requiring re-authentication as necessary such as when the maximum time between IdP authentication events is reached.</t>
  </si>
  <si>
    <t>V7.6.2</t>
  </si>
  <si>
    <t>Verify that creation of a session requires either the user's consent or an explicit action, preventing the creation of new application sessions without user interaction.</t>
  </si>
  <si>
    <t>V8.1</t>
  </si>
  <si>
    <t>Authorization Documentation</t>
  </si>
  <si>
    <t>V8.1.1</t>
  </si>
  <si>
    <t>Verify that authorization documentation defines rules for restricting function-level and data-specific access based on consumer permissions and resource attributes.</t>
  </si>
  <si>
    <t>RBAC roles and endpoint permissions are documented and implemented centrally in SecurityConfig.</t>
  </si>
  <si>
    <t>SecurityConfig.java; Sprint 1 report ?4</t>
  </si>
  <si>
    <t>V8.1.2</t>
  </si>
  <si>
    <t>Verify that authorization documentation defines rules for field-level access restrictions (both read and write) based on consumer permissions and resource attributes. Note that these rules might depend on other attribute values of the relevant data object, such as state or status.</t>
  </si>
  <si>
    <t>Role and ownership rules are documented. Full field-level read/write authorization matrix is not yet exhaustive.</t>
  </si>
  <si>
    <t>Sprint 1 report ?4</t>
  </si>
  <si>
    <t>V8.1.3</t>
  </si>
  <si>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</si>
  <si>
    <t>Not applicable – the authorization design does not use environmental or contextual attributes such as location, device, or time of day.</t>
  </si>
  <si>
    <t>N/A – contextual/adaptive authorization not in current scope</t>
  </si>
  <si>
    <t>V8.1.4</t>
  </si>
  <si>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</si>
  <si>
    <t>V8.2</t>
  </si>
  <si>
    <t>General Authorization Design</t>
  </si>
  <si>
    <t>V8.2.1</t>
  </si>
  <si>
    <t>Verify that the application ensures that function-level access is restricted to consumers with explicit permissions.</t>
  </si>
  <si>
    <t>Function-level access is enforced with Spring Security matchers for admin, analyst and audit endpoints.</t>
  </si>
  <si>
    <t>SecurityConfig.java; AdminAuthorizationTest; AuditorAuthorizationTest</t>
  </si>
  <si>
    <t>V8.2.2</t>
  </si>
  <si>
    <t>Verify that the application ensures that data-specific access is restricted to consumers with explicit permissions to specific data items to mitigate insecure direct object reference (IDOR) and broken object level authorization (BOLA).</t>
  </si>
  <si>
    <t>Data-specific authorization is enforced for analyst ownership and case/package operations.</t>
  </si>
  <si>
    <t>ReportService.java; CasePackageService.java; AnalystCaseOwnershipTest</t>
  </si>
  <si>
    <t>V8.2.3</t>
  </si>
  <si>
    <t>Verify that the application ensures that field-level access is restricted to consumers with explicit permissions to specific fields to mitigate broken object property level authorization (BOPLA).</t>
  </si>
  <si>
    <t>Property/field-level access control is not yet detailed in the documentation.</t>
  </si>
  <si>
    <t>V8.2.4</t>
  </si>
  <si>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</si>
  <si>
    <t>V8.3</t>
  </si>
  <si>
    <t>Operation Level Authorization</t>
  </si>
  <si>
    <t>V8.3.1</t>
  </si>
  <si>
    <t>Verify that the application enforces authorization rules at a trusted service layer and doesn't rely on controls that an untrusted consumer could manipulate, such as client-side JavaScript.</t>
  </si>
  <si>
    <t>Authorization is enforced in backend security/service layers rather than client-side controls.</t>
  </si>
  <si>
    <t>SecurityConfig.java; service layer</t>
  </si>
  <si>
    <t>V8.3.2</t>
  </si>
  <si>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</si>
  <si>
    <t>Immediate propagation of permission changes is not explicitly defined in the design.</t>
  </si>
  <si>
    <t>System design (not explicitly defined)</t>
  </si>
  <si>
    <t>V8.3.3</t>
  </si>
  <si>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</si>
  <si>
    <t>V8.4</t>
  </si>
  <si>
    <t>Other Authorization Considerations</t>
  </si>
  <si>
    <t>V8.4.1</t>
  </si>
  <si>
    <t>Verify that multi-tenant applications use cross-tenant controls to ensure consumer operations will never affect tenants with which they do not have permissions to interact.</t>
  </si>
  <si>
    <t>Not applicable – the application is not designed as a multi-tenant system.</t>
  </si>
  <si>
    <t>N/A – multi-tenant controls not in current system scope</t>
  </si>
  <si>
    <t>V8.4.2</t>
  </si>
  <si>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</si>
  <si>
    <t>Administrative access is protected by RBAC, but advanced layered controls such as MFA, device posture, and contextual risk analysis are not defined.</t>
  </si>
  <si>
    <t>DESOFS Phase 1: §5.1 RS1-RS3; §8 STRIDE; §12 tests</t>
  </si>
  <si>
    <t>V9.1</t>
  </si>
  <si>
    <t>Token source and integrity</t>
  </si>
  <si>
    <t>V9.1.1</t>
  </si>
  <si>
    <t>Verify that self-contained tokens are validated using their digital signature or MAC to protect against tampering before accepting the token's contents.</t>
  </si>
  <si>
    <t>JWTs are validated using HMAC-SHA256 before claims are trusted.</t>
  </si>
  <si>
    <t>V9.1.2</t>
  </si>
  <si>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</si>
  <si>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The implementation uses a fixed HS256/HMAC-SHA256 flow and does not accept the none algorithm from token headers.</t>
  </si>
  <si>
    <t>V9.1.3</t>
  </si>
  <si>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</si>
  <si>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JWT signing key material is loaded from configured application properties/environment and not from untrusted token header locations.</t>
  </si>
  <si>
    <t>JwtService.java; application.yaml</t>
  </si>
  <si>
    <t>V9.2</t>
  </si>
  <si>
    <t>Token content</t>
  </si>
  <si>
    <t>V9.2.1</t>
  </si>
  <si>
    <t>Verify that, if a validity time span is present in the token data, the token and its content are accepted only if the verification time is within this validity time span. For example, for JWTs, the claims 'nbf' and 'exp' must be verified.</t>
  </si>
  <si>
    <t>JWT exp claim is generated and checked during validation.</t>
  </si>
  <si>
    <t>V9.2.2</t>
  </si>
  <si>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</si>
  <si>
    <t>Tokens are used as access tokens for backend authorization. Explicit token type/audience claims are not yet implemented.</t>
  </si>
  <si>
    <t>V9.2.3</t>
  </si>
  <si>
    <t>Verify that the service only accepts tokens which are intended for use with that service (audience). For JWTs, this can be achieved by validating the 'aud' claim against an allowlist defined in the service.</t>
  </si>
  <si>
    <t>Audience validation is not implemented in Sprint 1.</t>
  </si>
  <si>
    <t>V9.2.4</t>
  </si>
  <si>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</si>
  <si>
    <t>The application has a single internal token issuer/key context for Sprint 1.</t>
  </si>
  <si>
    <t>V10.1</t>
  </si>
  <si>
    <t>Generic OAuth and OIDC Security</t>
  </si>
  <si>
    <t>V10.1.1</t>
  </si>
  <si>
    <t>Verify that tokens are only sent to components that strictly need them. For example, when using a backend-for-frontend pattern for browser-based JavaScript applications, access and refresh tokens shall only be accessible for the backend.</t>
  </si>
  <si>
    <t>OAuth2/OIDC is not used. Authentication is internal JWT Bearer authentication.</t>
  </si>
  <si>
    <t>SecurityConfig.java; JwtService.java</t>
  </si>
  <si>
    <t>V10.1.2</t>
  </si>
  <si>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</si>
  <si>
    <t>Application does not use OAuth2 or OpenID Connect; authentication is handled internally via backend-managed sessions and RBAC.</t>
  </si>
  <si>
    <t>DESOFS Phase 1: §5.1 RS1-RS3; §2.2 Assumptions</t>
  </si>
  <si>
    <t>V10.2</t>
  </si>
  <si>
    <t>OAuth Client</t>
  </si>
  <si>
    <t>V10.2.1</t>
  </si>
  <si>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</si>
  <si>
    <t>V10.2.2</t>
  </si>
  <si>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</si>
  <si>
    <t>V10.2.3</t>
  </si>
  <si>
    <t>Verify that the OAuth client only requests the required scopes (or other authorization parameters) in requests to the authorization server.</t>
  </si>
  <si>
    <t>V10.3</t>
  </si>
  <si>
    <t>OAuth Resource Server</t>
  </si>
  <si>
    <t>V10.3.1</t>
  </si>
  <si>
    <t>Verify that the resource server only accepts access tokens that are intended for use with that service (audience). The audience may be included in a structured access token (such as the 'aud' claim in JWT), or it can be checked using the token introspection endpoint.</t>
  </si>
  <si>
    <t>V10.3.2</t>
  </si>
  <si>
    <t>Verify that the resource server enforces authorization decisions based on claims from the access token that define delegated authorization. If claims such as 'sub', 'scope', and 'authorization_details' are present, they must be part of the decision.</t>
  </si>
  <si>
    <t>V10.3.3</t>
  </si>
  <si>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</si>
  <si>
    <t>V10.3.4</t>
  </si>
  <si>
    <t>Verify that, if the resource server requires specific authentication strength, methods, or recentness, it verifies that the presented access token satisfies these constraints. For example, if present, using the OIDC 'acr', 'amr' and 'auth_time' claims respectively.</t>
  </si>
  <si>
    <t>V10.3.5</t>
  </si>
  <si>
    <t>Verify that the resource server prevents the use of stolen access tokens or replay of access tokens (from unauthorized parties) by requiring sender-constrained access tokens, either Mutual TLS for OAuth 2 or OAuth 2 Demonstration of Proof of Possession (DPoP).</t>
  </si>
  <si>
    <t>V10.4</t>
  </si>
  <si>
    <t>OAuth Authorization Server</t>
  </si>
  <si>
    <t>V10.4.1</t>
  </si>
  <si>
    <t>Verify that the authorization server validates redirect URIs based on a client-specific allowlist of pre-registered URIs using exact string comparison.</t>
  </si>
  <si>
    <t>V10.4.2</t>
  </si>
  <si>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</si>
  <si>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V10.4.3</t>
  </si>
  <si>
    <t>Verify that the authorization code is short-lived. The maximum lifetime can be up to 10 minutes for L1 and L2 applications and up to 1 minute for L3 applications.</t>
  </si>
  <si>
    <t>V10.4.4</t>
  </si>
  <si>
    <t>Verify that for a given client, the authorization server only allows the usage of grants that this client needs to use. Note that the grants 'token' (Implicit flow) and 'password' (Resource Owner Password Credentials flow) must no longer be used.</t>
  </si>
  <si>
    <t>V10.4.5</t>
  </si>
  <si>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</si>
  <si>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V10.4.6</t>
  </si>
  <si>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</si>
  <si>
    <t>V10.4.7</t>
  </si>
  <si>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</si>
  <si>
    <t>V10.4.8</t>
  </si>
  <si>
    <t>Verify that refresh tokens have an absolute expiration, including if sliding refresh token expiration is applied.</t>
  </si>
  <si>
    <t>V10.4.9</t>
  </si>
  <si>
    <t>Verify that refresh tokens and reference access tokens can be revoked by an authorized user using the authorization server user interface, to mitigate the risk of malicious clients or stolen tokens.</t>
  </si>
  <si>
    <t>V10.4.10</t>
  </si>
  <si>
    <t>Verify that confidential client is authenticated for client-to-authorized server backchannel requests such as token requests, pushed authorization requests (PAR), and token revocation requests.</t>
  </si>
  <si>
    <t>V10.4.11</t>
  </si>
  <si>
    <t>Verify that the authorization server configuration only assigns the required scopes to the OAuth client.</t>
  </si>
  <si>
    <t>V10.4.12</t>
  </si>
  <si>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</si>
  <si>
    <t>V10.4.13</t>
  </si>
  <si>
    <t>Verify that grant type 'code' is always used together with pushed authorization requests (PAR).</t>
  </si>
  <si>
    <t>V10.4.14</t>
  </si>
  <si>
    <t>Verify that the authorization server issues only sender-constrained (Proof-of-Possession) access tokens, either with certificate-bound access tokens using mutual TLS (mTLS) or DPoP-bound access tokens (Demonstration of Proof of Possession).</t>
  </si>
  <si>
    <t>V10.4.15</t>
  </si>
  <si>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</si>
  <si>
    <t>V10.4.16</t>
  </si>
  <si>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</si>
  <si>
    <t>V10.5</t>
  </si>
  <si>
    <t>OIDC Client</t>
  </si>
  <si>
    <t>V10.5.1</t>
  </si>
  <si>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</si>
  <si>
    <t>V10.5.2</t>
  </si>
  <si>
    <t>Verify that the client uniquely identifies the user from ID Token claims, usually the 'sub' claim, which cannot be reassigned to other users (for the scope of an identity provider).</t>
  </si>
  <si>
    <t>V10.5.3</t>
  </si>
  <si>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</si>
  <si>
    <t>V10.5.4</t>
  </si>
  <si>
    <t>Verify that the client validates that the ID Token is intended to be used for that client (audience) by checking that the 'aud' claim from the token is equal to the 'client_id' value for the client.</t>
  </si>
  <si>
    <t>V10.5.5</t>
  </si>
  <si>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</si>
  <si>
    <t>V10.6</t>
  </si>
  <si>
    <t>OpenID Provider</t>
  </si>
  <si>
    <t>V10.6.1</t>
  </si>
  <si>
    <t>Verify that the OpenID Provider only allows values 'code', 'ciba', 'id_token', or 'id_token code' for response mode. Note that 'code' is preferred over 'id_token code' (the OIDC Hybrid flow), and 'token' (any Implicit flow) must not be used.</t>
  </si>
  <si>
    <t>V10.6.2</t>
  </si>
  <si>
    <t>Verify that the OpenID Provider mitigates denial of service through forced logout. By obtaining explicit confirmation from the end-user or, if present, validating parameters in the logout request (initiated by the relying party), such as the 'id_token_hint'.</t>
  </si>
  <si>
    <t>V10.7</t>
  </si>
  <si>
    <t>Consent Management</t>
  </si>
  <si>
    <t>V10.7.1</t>
  </si>
  <si>
    <t>Verify that the authorization server ensures that the user consents to each authorization request. If the identity of the client cannot be assured, the authorization server must always explicitly prompt the user for consent.</t>
  </si>
  <si>
    <t>V10.7.2</t>
  </si>
  <si>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</si>
  <si>
    <t>V10.7.3</t>
  </si>
  <si>
    <t>Verify that the user can review, modify, and revoke consents which the user has granted through the authorization server.</t>
  </si>
  <si>
    <t>V11.1</t>
  </si>
  <si>
    <t>Cryptographic Inventory and Documentation</t>
  </si>
  <si>
    <t>V11.1.1</t>
  </si>
  <si>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</si>
  <si>
    <t>Cryptographic controls (hashing, TLS, token generation) are required by design, but specific algorithms, key management practices, and implementation details are not yet formally defined in Phase 1.</t>
  </si>
  <si>
    <t>DESOFS Phase 1: §5.3 RS8; §2.2 Assumptions (TLS); §11 hashing of codes/files</t>
  </si>
  <si>
    <t>V11.1.2</t>
  </si>
  <si>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</si>
  <si>
    <t>V11.1.3</t>
  </si>
  <si>
    <t>Verify that cryptographic discovery mechanisms are employed to identify all instances of cryptography in the system, including encryption, hashing, and signing operations.</t>
  </si>
  <si>
    <t>V11.1.4</t>
  </si>
  <si>
    <t>Verify that a cryptographic inventory is maintained. This must include a documented plan that outlines the migration path to new cryptographic standards, such as post-quantum cryptography, in order to react to future threats.</t>
  </si>
  <si>
    <t>V11.2</t>
  </si>
  <si>
    <t>Secure Cryptography Implementation</t>
  </si>
  <si>
    <t>V11.2.1</t>
  </si>
  <si>
    <t>Verify that industry-validated implementations (including libraries and hardware-accelerated implementations) are used for cryptographic operations.</t>
  </si>
  <si>
    <t>Cryptographic operations use platform/framework implementations: BCryptPasswordEncoder, SecureRandom, MessageDigest SHA-256 and HmacSHA256.</t>
  </si>
  <si>
    <t>SecurityConfig.java; TrackingCode.java; BackupService.java; CasePackageService.java; JwtService.java</t>
  </si>
  <si>
    <t>V11.2.2</t>
  </si>
  <si>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</si>
  <si>
    <t>Strong cryptography is expected, but algorithm agility/bit-strength requirements are not yet written down.</t>
  </si>
  <si>
    <t>DESOFS Phase 1: §5.3 RS8; §2.2 Assumptions (TLS/HTTPS); §11 hashing of codes/files</t>
  </si>
  <si>
    <t>V11.2.3</t>
  </si>
  <si>
    <t>Verify that all cryptographic primitives utilize a minimum of 128-bits of security based on the algorithm, key size, and configuration. For example, a 256-bit ECC key provides roughly 128 bits of security where RSA requires a 3072-bit key to achieve 128 bits of security.</t>
  </si>
  <si>
    <t>V11.2.4</t>
  </si>
  <si>
    <t>Verify that all cryptographic operations are constant-time, with no 'short-circuit' operations in comparisons, calculations, or returns, to avoid leaking information.</t>
  </si>
  <si>
    <t>This is advanced crypto-hardening detail not yet covered in Phase 1 documentation.</t>
  </si>
  <si>
    <t>DESOFS Phase 1: §5.3 RS8; §11 hashing of codes/files; tokens with expiration</t>
  </si>
  <si>
    <t>V11.2.5</t>
  </si>
  <si>
    <t>Verify that all cryptographic modules fail securely, and errors are handled in a way that does not enable vulnerabilities, such as Padding Oracle attacks.</t>
  </si>
  <si>
    <t>V11.3</t>
  </si>
  <si>
    <t>Encryption Algorithms</t>
  </si>
  <si>
    <t>V11.3.1</t>
  </si>
  <si>
    <t>Verify that insecure block modes (e.g., ECB) and weak padding schemes (e.g., PKCS#1 v1.5) are not used.</t>
  </si>
  <si>
    <t>No custom block cipher modes are used in Sprint 1.</t>
  </si>
  <si>
    <t>Code review Sprint 1</t>
  </si>
  <si>
    <t>V11.3.2</t>
  </si>
  <si>
    <t>Verify that only approved ciphers and modes such as AES with GCM are used.</t>
  </si>
  <si>
    <t>Cryptographic primitives should be selected safely in implementation; exact algorithms are not yet specified.</t>
  </si>
  <si>
    <t>DESOFS Phase 1: §5.3 RS8; §2.2 Assumptions (HTTPS/TLS)</t>
  </si>
  <si>
    <t>V11.3.3</t>
  </si>
  <si>
    <t>Verify that encrypted data is protected against unauthorized modification preferably by using an approved authenticated encryption method or by combining an approved encryption method with an approved MAC algorithm.</t>
  </si>
  <si>
    <t>V11.3.4</t>
  </si>
  <si>
    <t>Verify that nonces, initialization vectors, and other single-use numbers are not used for more than one encryption key and data-element pair. The method of generation must be appropriate for the algorithm being used.</t>
  </si>
  <si>
    <t>V11.3.5</t>
  </si>
  <si>
    <t>Verify that any combination of an encryption algorithm and a MAC algorithm is operating in encrypt-then-MAC mode.</t>
  </si>
  <si>
    <t>V11.4</t>
  </si>
  <si>
    <t>Hashing and Hash-based Functions</t>
  </si>
  <si>
    <t>V11.4.1</t>
  </si>
  <si>
    <t>Verify that only approved hash functions are used for general cryptographic use cases, including digital signatures, HMAC, KDF, and random bit generation. Disallowed hash functions, such as MD5, must not be used for any cryptographic purpose.</t>
  </si>
  <si>
    <t>Approved hash/MAC functions are used for current needs: SHA-256 for integrity/tracking hashes and HMAC-SHA256 for JWT signing.</t>
  </si>
  <si>
    <t>JwtService.java; ReportService.java; BackupService.java; CasePackageService.java</t>
  </si>
  <si>
    <t>V11.4.2</t>
  </si>
  <si>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</si>
  <si>
    <t>Passwords must not be stored in plaintext, but the exact approved password-hashing algorithm/parameters are still to be specified.</t>
  </si>
  <si>
    <t>DESOFS Phase 1: §5.3 RS8; §11 hashing of codes/files</t>
  </si>
  <si>
    <t>V11.4.3</t>
  </si>
  <si>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</si>
  <si>
    <t>V11.4.4</t>
  </si>
  <si>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</si>
  <si>
    <t>V11.5</t>
  </si>
  <si>
    <t>Random Values</t>
  </si>
  <si>
    <t>V11.5.1</t>
  </si>
  <si>
    <t>Verify that all random numbers and strings which are intended to be non-guessable must be generated using a cryptographically secure pseudo-random number generator (CSPRNG) and have at least 128 bits of entropy. Note that UUIDs do not respect this condition.</t>
  </si>
  <si>
    <t>Tracking codes and session material are intended to be unique, unpredictable, and high-entropy.</t>
  </si>
  <si>
    <t>DESOFS Phase 1: §5.3 RS8; §11 tokens/identifiers generation</t>
  </si>
  <si>
    <t>V11.5.2</t>
  </si>
  <si>
    <t>Verify that the random number generation mechanism in use is designed to work securely, even under heavy demand.</t>
  </si>
  <si>
    <t>CSPRNG robustness under heavy load is not documented.</t>
  </si>
  <si>
    <t>V11.6</t>
  </si>
  <si>
    <t>Public Key Cryptography</t>
  </si>
  <si>
    <t>V11.6.1</t>
  </si>
  <si>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</si>
  <si>
    <t>DESOFS Phase 1: §5.3 RS8; §2.2 Assumptions (TLS/HTTPS)</t>
  </si>
  <si>
    <t>V11.6.2</t>
  </si>
  <si>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</si>
  <si>
    <t>V11.7</t>
  </si>
  <si>
    <t>In-Use Data Cryptography</t>
  </si>
  <si>
    <t>V11.7.1</t>
  </si>
  <si>
    <t>Verify that full memory encryption is in use that protects sensitive data while it is in use, preventing access by unauthorized users or processes.</t>
  </si>
  <si>
    <t>DESOFS Phase 1: §5.2 RS4-RS6</t>
  </si>
  <si>
    <t>V11.7.2</t>
  </si>
  <si>
    <t>Verify that data minimization ensures the minimal amount of data is exposed during processing, and ensure that data is encrypted immediately after use or as soon as feasible.</t>
  </si>
  <si>
    <t>Data minimization is explicit, but immediate encryption-after-use processing detail is not yet documented.</t>
  </si>
  <si>
    <t>V12.1</t>
  </si>
  <si>
    <t>General TLS Security Guidance</t>
  </si>
  <si>
    <t>V12.1.1</t>
  </si>
  <si>
    <t>Verify that only the latest recommended versions of the TLS protocol are enabled, such as TLS 1.2 and TLS 1.3. The latest version of the TLS protocol must be the preferred option.</t>
  </si>
  <si>
    <t>HTTPS/TLS is assumed in deployment requirements, but the Sprint 1 local application does not configure TLS versions directly.</t>
  </si>
  <si>
    <t>Phase 1 assumptions; Sprint 1 deployment limitations</t>
  </si>
  <si>
    <t>V12.1.2</t>
  </si>
  <si>
    <t>Verify that only recommended cipher suites are enabled, with the strongest cipher suites set as preferred. L3 applications must only support cipher suites which provide forward secrecy.</t>
  </si>
  <si>
    <t>Cipher-suite policy is not yet specified.</t>
  </si>
  <si>
    <t>V12.1.3</t>
  </si>
  <si>
    <t>Verify that the application validates that mTLS client certificates are trusted before using the certificate identity for authentication or authorization.</t>
  </si>
  <si>
    <t>Not applicable – the current design does not use mutual TLS client certificates for authentication or authorization.</t>
  </si>
  <si>
    <t>N/A – mTLS client authentication not in current system scope</t>
  </si>
  <si>
    <t>V12.1.4</t>
  </si>
  <si>
    <t>Verify that proper certification revocation, such as Online Certificate Status Protocol (OCSP) Stapling, is enabled and configured.</t>
  </si>
  <si>
    <t>Advanced TLS features such as OCSP stapling and ECH are not required for Phase 1 and are not yet specified in the deployment configuration.</t>
  </si>
  <si>
    <t>V12.1.5</t>
  </si>
  <si>
    <t>Verify that Encrypted Client Hello (ECH) is enabled in the application's TLS settings to prevent exposure of sensitive metadata, such as the Server Name Indication (SNI), during TLS handshake processes.</t>
  </si>
  <si>
    <t>V12.2</t>
  </si>
  <si>
    <t>HTTPS Communication with External Facing Services</t>
  </si>
  <si>
    <t>V12.2.1</t>
  </si>
  <si>
    <t>Verify that TLS is used for all connectivity between a client and external facing, HTTP-based services, and does not fall back to insecure or unencrypted communications.</t>
  </si>
  <si>
    <t>HTTPS is required by design for external deployment, but Sprint 1 CI/local evidence runs over HTTP.</t>
  </si>
  <si>
    <t>Phase 1 assumptions; ZAP baseline target</t>
  </si>
  <si>
    <t>V12.2.2</t>
  </si>
  <si>
    <t>Verify that external facing services use publicly trusted TLS certificates.</t>
  </si>
  <si>
    <t>Production certificate sourcing/trust model is still an implementation detail.</t>
  </si>
  <si>
    <t>V12.3</t>
  </si>
  <si>
    <t>General Service to Service Communication Security</t>
  </si>
  <si>
    <t>V12.3.1</t>
  </si>
  <si>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</si>
  <si>
    <t>Service-to-service encryption and certificate validation are required by design, but detailed configuration (e.g., TLS enforcement, certificate trust model, internal CA usage) is not yet defined and will be specified during deployment architecture.</t>
  </si>
  <si>
    <t>DESOFS Phase 1: §2.2 HTTPS; §5.3 RS7; §9 trust boundaries; STRIDE T/M</t>
  </si>
  <si>
    <t>V12.3.2</t>
  </si>
  <si>
    <t>Verify that TLS clients validate certificates received before communicating with a TLS server.</t>
  </si>
  <si>
    <t>V12.3.3</t>
  </si>
  <si>
    <t>Verify that TLS or another appropriate transport encryption mechanism used for all connectivity between internal, HTTP-based services within the application, and does not fall back to insecure or unencrypted communications.</t>
  </si>
  <si>
    <t>V12.3.4</t>
  </si>
  <si>
    <t>Verify that TLS connections between internal services use trusted certificates. Where internally generated or self-signed certificates are used, the consuming service must be configured to only trust specific internal CAs and specific self-signed certificates.</t>
  </si>
  <si>
    <t>V12.3.5</t>
  </si>
  <si>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</si>
  <si>
    <t>Not applicable in Phase 1, as the system does not use a microservices architecture or mutual TLS authentication between services.</t>
  </si>
  <si>
    <t>N/A – service mesh/mTLS not in current system scope</t>
  </si>
  <si>
    <t>V13.1</t>
  </si>
  <si>
    <t>Configuration Documentation</t>
  </si>
  <si>
    <t>V13.1.1</t>
  </si>
  <si>
    <t>Verify that all communication needs for the application are documented. This must include external services which the application relies upon and cases where an end user might be able to provide an external location to which the application will then connect.</t>
  </si>
  <si>
    <t>Core communication paths are documented: browser/static frontend, REST API, PostgreSQL, local file storage and GitHub Actions service container.</t>
  </si>
  <si>
    <t>Sprint 1 report ?2, ?11</t>
  </si>
  <si>
    <t>V13.1.2</t>
  </si>
  <si>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</si>
  <si>
    <t>Detailed configuration parameters such as connection limits, timeout/retry strategies, and secret lifecycle/rotation policies are not yet formally defined and will be specified during implementation and deployment design.</t>
  </si>
  <si>
    <t>V13.1.3</t>
  </si>
  <si>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</si>
  <si>
    <t>V13.1.4</t>
  </si>
  <si>
    <t>Verify that the application's documentation defines the secrets that are critical for the security of the application and a schedule for rotating them, based on the organization's threat model and business requirements.</t>
  </si>
  <si>
    <t>Critical secrets are identified as environment/configuration values such as JWT_SECRET, DB credentials and NVD_API_KEY. Formal lifecycle/rotation policy is not complete.</t>
  </si>
  <si>
    <t>application.yaml; GitHub Actions secrets</t>
  </si>
  <si>
    <t>V13.2</t>
  </si>
  <si>
    <t>Backend Communication Configuration</t>
  </si>
  <si>
    <t>V13.2.1</t>
  </si>
  <si>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</si>
  <si>
    <t>Service-to-service authentication is expected to use least-privilege credentials (e.g., scoped tokens or service accounts), but the exact authentication mechanisms and credential lifecycle are not yet defined.</t>
  </si>
  <si>
    <t>DESOFS Phase 1: §9 trust boundaries; §10 STRIDE (T/S); §11 mitigations</t>
  </si>
  <si>
    <t>V13.2.2</t>
  </si>
  <si>
    <t>Verify that communications between backend application components, including local or operating system services, APIs, middleware, and data layers, are performed with accounts assigned the least necessary privileges.</t>
  </si>
  <si>
    <t>Least-privilege service credentials align with the design but are not yet specified in detail.</t>
  </si>
  <si>
    <t>V13.2.3</t>
  </si>
  <si>
    <t>Verify that if a credential has to be used for service authentication, the credential being used by the consumer is not a default credential (e.g., root/root or admin/admin).</t>
  </si>
  <si>
    <t>V13.2.4</t>
  </si>
  <si>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</si>
  <si>
    <t>Outbound/network/file-access allowlists would strengthen SSRF and egress control but are not yet documented.</t>
  </si>
  <si>
    <t>V13.2.5</t>
  </si>
  <si>
    <t>Verify that the web or application server is configured with an allowlist of resources or systems to which the server can send requests or load data or files from.</t>
  </si>
  <si>
    <t>V13.2.6</t>
  </si>
  <si>
    <t>Verify that where the application connects to separate services, it follows the documented configuration for each connection, such as maximum parallel connections, behavior when maximum allowed connections is reached, connection timeouts, and retry strategies.</t>
  </si>
  <si>
    <t>Connection pool/timeout behavior for external services is not yet specified.</t>
  </si>
  <si>
    <t>V13.3</t>
  </si>
  <si>
    <t>Secret Management</t>
  </si>
  <si>
    <t>V13.3.1</t>
  </si>
  <si>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</si>
  <si>
    <t>GitHub Actions secrets are used for CI secrets such as NVD_API_KEY and JWT_SECRET, but no dedicated production vault is implemented.</t>
  </si>
  <si>
    <t>GitHub repository secrets; workflows</t>
  </si>
  <si>
    <t>V13.3.2</t>
  </si>
  <si>
    <t>Verify that access to secret assets adheres to the principle of least privilege.</t>
  </si>
  <si>
    <t>Secrets are consumed through environment variables/configuration. Fine-grained production secret access policy remains future work.</t>
  </si>
  <si>
    <t>application.yaml; workflows</t>
  </si>
  <si>
    <t>V13.3.3</t>
  </si>
  <si>
    <t>Verify that all cryptographic operations are performed using an isolated security module (such as a vault or hardware security module) to securely manage and protect key material from exposure outside of the security module.</t>
  </si>
  <si>
    <t>Use of secure key management (e.g., vault or HSM) is not yet defined and depends on deployment architecture.</t>
  </si>
  <si>
    <t>V13.3.4</t>
  </si>
  <si>
    <t>Verify that secrets are configured to expire and be rotated based on the application's documentation.</t>
  </si>
  <si>
    <t>Secrets-management approach should be documented before deployment/implementation.</t>
  </si>
  <si>
    <t>V13.4</t>
  </si>
  <si>
    <t>Unintended Information Leakage</t>
  </si>
  <si>
    <t>V13.4.1</t>
  </si>
  <si>
    <t>Verify that the application is deployed either without any source control metadata, including the .git or .svn folders, or in a way that these folders are inaccessible both externally and to the application itself.</t>
  </si>
  <si>
    <t>CI builds from source and does not deploy a production artifact in Sprint 1; deployment hardening is future work.</t>
  </si>
  <si>
    <t>GitHub Actions workflows</t>
  </si>
  <si>
    <t>V13.4.2</t>
  </si>
  <si>
    <t>Verify that debug modes are disabled for all components in production environments to prevent exposure of debugging features and information leakage.</t>
  </si>
  <si>
    <t>Dev/test profiles are separated and seed users are profile-scoped; full production hardening remains future work.</t>
  </si>
  <si>
    <t>application-dev.yaml; application-test.yaml; DataInitializer.java</t>
  </si>
  <si>
    <t>V13.4.3</t>
  </si>
  <si>
    <t>Verify that web servers do not expose directory listings to clients unless explicitly intended.</t>
  </si>
  <si>
    <t>The Spring Boot/Tomcat application does not expose directory listings for controlled storage or static resources.</t>
  </si>
  <si>
    <t>Application behavior; FileStorageService.java</t>
  </si>
  <si>
    <t>V13.4.4</t>
  </si>
  <si>
    <t>Verify that using the HTTP TRACE method is not supported in production environments, to avoid potential information leakage.</t>
  </si>
  <si>
    <t>Web-server method hardening (e.g., TRACE disabled) remains to be configured.</t>
  </si>
  <si>
    <t>DESOFS Phase 1: deployment assumptions; §9 architecture; §12 tests</t>
  </si>
  <si>
    <t>V13.4.5</t>
  </si>
  <si>
    <t>Verify that documentation (such as for internal APIs) and monitoring endpoints are not exposed unless explicitly intended.</t>
  </si>
  <si>
    <t>Documentation/monitoring endpoint exposure rules are not yet specified.</t>
  </si>
  <si>
    <t>DESOFS Phase 1: RNF4-RNF5; §5.5 RS12-RS13; AC12; STRIDE D3/P7; §12 tests</t>
  </si>
  <si>
    <t>V13.4.6</t>
  </si>
  <si>
    <t>Verify that the application does not expose detailed version information of backend components.</t>
  </si>
  <si>
    <t>Backend version disclosure control is not yet documented.</t>
  </si>
  <si>
    <t>V13.4.7</t>
  </si>
  <si>
    <t>Verify that the web tier is configured to only serve files with specific file extensions to prevent unintentional information, configuration, and source code leakage.</t>
  </si>
  <si>
    <t>Restricting served file types is aligned with preventing unintended exposure, but specific web-server configuration is not yet defined.</t>
  </si>
  <si>
    <t>DESOFS Phase 1: RF2/RF7/RF8; §5.4 RS9-RS11; AC3/AC6/AC7; STRIDE P2/P3; §12 tests</t>
  </si>
  <si>
    <t>V14.1</t>
  </si>
  <si>
    <t>Data Protection Documentation</t>
  </si>
  <si>
    <t>V14.1.1</t>
  </si>
  <si>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</si>
  <si>
    <t>Sensitive assets are identified in Phase 1 and Sprint 1 report, including reports, tracking codes, attachments, audit logs, users and backups. Formal data classification matrix remains future work.</t>
  </si>
  <si>
    <t>Phase 1 report; Sprint 1 report ?12</t>
  </si>
  <si>
    <t>V14.1.2</t>
  </si>
  <si>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</si>
  <si>
    <t>Protection goals are defined, but formal classification levels and detailed retention/logging requirements are not yet fully documented.</t>
  </si>
  <si>
    <t>DESOFS Phase 1: §5.2 RS4-RS6; §9 data flows; STRIDE I/P</t>
  </si>
  <si>
    <t>V14.2</t>
  </si>
  <si>
    <t>General Data Protection</t>
  </si>
  <si>
    <t>V14.2.1</t>
  </si>
  <si>
    <t>Verify that sensitive data is only sent to the server in the HTTP message body or header fields, and that the URL and query string do not contain sensitive information, such as an API key or session token.</t>
  </si>
  <si>
    <t>Tracking verification and secure download use request bodies/form-data rather than exposing tracking codes in URL query strings for the main API flows.</t>
  </si>
  <si>
    <t>ReportController.java; DTOs</t>
  </si>
  <si>
    <t>V14.2.2</t>
  </si>
  <si>
    <t>Verify that the application prevents sensitive data from being cached in server components, such as load balancers and application caches, or ensures that the data is securely purged after use.</t>
  </si>
  <si>
    <t>Sensitive responses must include anti-caching controls (e.g., Cache-Control: no-store), but the exact header configuration is not yet defined.</t>
  </si>
  <si>
    <t>DESOFS Phase 1: §5.2 RS4-RS6; AC1/AC2; STRIDE I/P; §12 tests</t>
  </si>
  <si>
    <t>V14.2.3</t>
  </si>
  <si>
    <t>Verify that defined sensitive data is not sent to untrusted parties (e.g., user trackers) to prevent unwanted collection of data outside of the application's control.</t>
  </si>
  <si>
    <t>No third-party trackers or untrusted external data sinks are part of the backend design.</t>
  </si>
  <si>
    <t>DESOFS Phase 1: §5.2 RS4-RS6; AC1/AC2; STRIDE P1/P4; §12 tests</t>
  </si>
  <si>
    <t>V14.2.4</t>
  </si>
  <si>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</si>
  <si>
    <t>Integrity and access controls exist for evidence and backups. Retention/encryption policies remain future work.</t>
  </si>
  <si>
    <t>BackupService.java; CasePackageService.java; Sprint 1 limitations</t>
  </si>
  <si>
    <t>V14.2.5</t>
  </si>
  <si>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</si>
  <si>
    <t>Specific protections against web cache deception attacks are not yet defined in the web/server configuration.</t>
  </si>
  <si>
    <t>V14.2.6</t>
  </si>
  <si>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</si>
  <si>
    <t>DTO responses reduce direct entity exposure. Additional review of all response fields can further minimize returned data.</t>
  </si>
  <si>
    <t>DTO package; Sprint 1 report ?5</t>
  </si>
  <si>
    <t>V14.2.7</t>
  </si>
  <si>
    <t>Verify that sensitive information is subject to data retention classification, ensuring that outdated or unnecessary data is deleted automatically, on a defined schedule, or as the situation requires.</t>
  </si>
  <si>
    <t>Retention and deletion policies are required but not yet formally defined or automated.</t>
  </si>
  <si>
    <t>DESOFS Phase 1: §5.2 RS4-RS6; AC1/AC2; STRIDE P1; §12 tests</t>
  </si>
  <si>
    <t>V14.2.8</t>
  </si>
  <si>
    <t>Verify that sensitive information is removed from the metadata of user-submitted files unless storage is consented to by the user.</t>
  </si>
  <si>
    <t>Filenames are sanitized and internal storage names are generated, but full metadata stripping for uploaded files is not implemented.</t>
  </si>
  <si>
    <t>FileStorageService.java; Sprint 1 limitations</t>
  </si>
  <si>
    <t>V14.3</t>
  </si>
  <si>
    <t>Client-side Data Protection</t>
  </si>
  <si>
    <t>V14.3.1</t>
  </si>
  <si>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</si>
  <si>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t>Not applicable in Phase 1, as the system does not include a browser-based client storing authenticated data.</t>
  </si>
  <si>
    <t>V14.3.2</t>
  </si>
  <si>
    <t>Verify that the application sets sufficient anti-caching HTTP response header fields (i.e., Cache-Control: no-store) so that sensitive data is not cached in browsers.</t>
  </si>
  <si>
    <t>Client-side data protection mechanisms (cache-control headers, storage policies, and token handling) are not yet defined and will be specified if a browser-based UI is introduced.</t>
  </si>
  <si>
    <t>V14.3.3</t>
  </si>
  <si>
    <t>Verify that data stored in browser storage (such as localStorage, sessionStorage, IndexedDB, or cookies) does not contain sensitive data, with the exception of session tokens.</t>
  </si>
  <si>
    <t>V15.1</t>
  </si>
  <si>
    <t>Secure Coding and Architecture Documentation</t>
  </si>
  <si>
    <t>V15.1.1</t>
  </si>
  <si>
    <t>Verify that application documentation defines risk based remediation time frames for 3rd party component versions with vulnerabilities and for updating libraries in general, to minimize the risk from these components.</t>
  </si>
  <si>
    <t>Dependency-Check SCA is integrated and reports vulnerable components, but formal remediation SLAs are not yet defined.</t>
  </si>
  <si>
    <t>sca-dependency-check.yml; dependency-check reports</t>
  </si>
  <si>
    <t>V15.1.2</t>
  </si>
  <si>
    <t>Verify that an inventory catalog, such as software bill of materials (SBOM), is maintained of all third-party libraries in use, including verifying that components come from pre-defined, trusted, and continually maintained repositories.</t>
  </si>
  <si>
    <t>Dependency inventory is available through Maven and Dependency-Check reports. A formal SBOM is not yet maintained.</t>
  </si>
  <si>
    <t>pom.xml; dependency-check reports</t>
  </si>
  <si>
    <t>V15.1.3</t>
  </si>
  <si>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</si>
  <si>
    <t>Resource-intensive functionality (uploads, document generation, storage use) and anti-DoS mitigations are documented.</t>
  </si>
  <si>
    <t>DESOFS Phase 1: §9 trust boundaries; §10 STRIDE; §11 mitigations</t>
  </si>
  <si>
    <t>V15.1.4</t>
  </si>
  <si>
    <t>Verify that application documentation highlights third-party libraries which are considered to be "risky components".</t>
  </si>
  <si>
    <t>No high-risk third-party libraries have been identified yet; this requires dependency analysis and vulnerability scanning.</t>
  </si>
  <si>
    <t>V15.1.5</t>
  </si>
  <si>
    <t>Verify that application documentation highlights parts of the application where "dangerous functionality" is being used.</t>
  </si>
  <si>
    <t>Dangerous functionality is explicitly highlighted, particularly server-side file handling and document generation.</t>
  </si>
  <si>
    <t>DESOFS Phase 1: RF2/RF7/RF8; §5.4 RS9-RS11; STRIDE P/T; §12 tests</t>
  </si>
  <si>
    <t>V15.2</t>
  </si>
  <si>
    <t>Security Architecture and Dependencies</t>
  </si>
  <si>
    <t>V15.2.1</t>
  </si>
  <si>
    <t>Verify that the application only contains components which have not breached the documented update and remediation time frames.</t>
  </si>
  <si>
    <t>SCA reports currently run in evidence mode and identified CVEs must be triaged before enforcing update gates.</t>
  </si>
  <si>
    <t>Dependency-Check artifact; Sprint 1 report ?11</t>
  </si>
  <si>
    <t>V15.2.2</t>
  </si>
  <si>
    <t>Verify that the application has implemented defenses against loss of availability due to functionality which is time-consuming or resource-demanding, based on the documented security decisions and strategies for this.</t>
  </si>
  <si>
    <t>Rate limiting and file size limits reduce availability risks, but quotas/distributed controls are future work.</t>
  </si>
  <si>
    <t>RateLimiterService.java; FileStorageService.java</t>
  </si>
  <si>
    <t>V15.2.3</t>
  </si>
  <si>
    <t>Verify that the production environment only includes functionality that is required for the application to function, and does not expose extraneous functionality such as test code, sample snippets, and development functionality.</t>
  </si>
  <si>
    <t>Production environment hardening (removal of debug/test functionality) is required but not yet formally documented.</t>
  </si>
  <si>
    <t>V15.2.4</t>
  </si>
  <si>
    <t>Verify that third-party components and all of their transitive dependencies are included from the expected repository, whether internally owned or an external source, and that there is no risk of a dependency confusion attack.</t>
  </si>
  <si>
    <t>Dependency-confusion protections (e.g., private registries, namespace restrictions) are required but not yet defined.</t>
  </si>
  <si>
    <t>V15.2.5</t>
  </si>
  <si>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</si>
  <si>
    <t>High-risk file operations are isolated through generated paths, controlled directories, RBAC, and integrity controls.</t>
  </si>
  <si>
    <t>DESOFS Phase 1: RF2/RF7/RF8; §5.4 RS9-RS11; STRIDE T/D; §12 tests</t>
  </si>
  <si>
    <t>V15.3</t>
  </si>
  <si>
    <t>Defensive Coding</t>
  </si>
  <si>
    <t>V15.3.1</t>
  </si>
  <si>
    <t>Verify that the application only returns the required subset of fields from a data object. For example, it should not return an entire data object, as some individual fields should not be accessible to users.</t>
  </si>
  <si>
    <t>Controllers return DTOs/responses rather than exposing full internal entities for main API flows.</t>
  </si>
  <si>
    <t>DTO package; controller package</t>
  </si>
  <si>
    <t>V15.3.2</t>
  </si>
  <si>
    <t>Verify that where the application backend makes calls to external URLs, it is configured to not follow redirects unless it is intended functionality.</t>
  </si>
  <si>
    <t>V15.3.3</t>
  </si>
  <si>
    <t>Verify that the application has countermeasures to protect against mass assignment attacks by limiting allowed fields per controller and action, e.g., it is not possible to insert or update a field value when it was not intended to be part of that action.</t>
  </si>
  <si>
    <t>Mass assignment is mitigated through dedicated DTOs for create/update operations instead of binding request bodies directly to JPA entities.</t>
  </si>
  <si>
    <t>V15.3.4</t>
  </si>
  <si>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</si>
  <si>
    <t>Trusted forwarding headers and correct IP extraction logic are required but not yet specified.</t>
  </si>
  <si>
    <t>DESOFS Phase 1: §5.2 RS4-RS6; input validation §11; STRIDE I/P; §12 tests</t>
  </si>
  <si>
    <t>V15.3.5</t>
  </si>
  <si>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</si>
  <si>
    <t>Typed DTOs and Bean Validation are used, but exhaustive type enforcement review remains future work.</t>
  </si>
  <si>
    <t>DTO package; GlobalExceptionHandler.java</t>
  </si>
  <si>
    <t>V15.3.6</t>
  </si>
  <si>
    <t>Verify that JavaScript code is written in a way that prevents prototype pollution, for example, by using Set() or Map() instead of object literals.</t>
  </si>
  <si>
    <t>V15.3.7</t>
  </si>
  <si>
    <t>Verify that the application has defenses against HTTP parameter pollution attacks, particularly if the application framework makes no distinction about the source of request parameters (query string, body parameters, cookies, or header fields).</t>
  </si>
  <si>
    <t>Protections against HTTP parameter pollution must be implemented but are not yet defined in the request handling logic.</t>
  </si>
  <si>
    <t>V15.4</t>
  </si>
  <si>
    <t>Safe Concurrency</t>
  </si>
  <si>
    <t>V15.4.1</t>
  </si>
  <si>
    <t>Verify that shared objects in multi-threaded code (such as caches, files, or in-memory objects accessed by multiple threads) are accessed safely by using thread-safe types and synchronization mechanisms like locks or semaphores to avoid race conditions and data corruption.</t>
  </si>
  <si>
    <t>Concurrency risks (race conditions, TOCTOU, thread safety) are identified, but specific synchronization mechanisms and safe access patterns are not yet defined.</t>
  </si>
  <si>
    <t>V15.4.2</t>
  </si>
  <si>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</si>
  <si>
    <t>V15.4.3</t>
  </si>
  <si>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</si>
  <si>
    <t>V15.4.4</t>
  </si>
  <si>
    <t>Verify that resource allocation policies prevent thread starvation by ensuring fair access to resources, such as by leveraging thread pools, allowing lower-priority threads to proceed within a reasonable timeframe.</t>
  </si>
  <si>
    <t>V16.1</t>
  </si>
  <si>
    <t>Security Logging Documentation</t>
  </si>
  <si>
    <t>V16.1.1</t>
  </si>
  <si>
    <t>Verify that an inventory exists documenting the logging performed at each layer of the application's technology stack, what events are being logged, log formats, where that logging is stored, how it is used, how access to it is controlled, and for how long logs are kept.</t>
  </si>
  <si>
    <t>Audit logs and security alerts are documented at application layer. Full multi-layer log inventory is not complete.</t>
  </si>
  <si>
    <t>AuditLogService.java; SecurityMonitoringService.java; Sprint 1 report ?9</t>
  </si>
  <si>
    <t>V16.2</t>
  </si>
  <si>
    <t>General Logging</t>
  </si>
  <si>
    <t>V16.2.1</t>
  </si>
  <si>
    <t>Verify that each log entry includes necessary metadata (such as when, where, who, what) that would allow for a detailed investigation of the timeline when an event happens.</t>
  </si>
  <si>
    <t>AuditLog stores actor, action, target type, target id, details and timestamp for critical operations.</t>
  </si>
  <si>
    <t>AuditLog.java; AuditLogService.java</t>
  </si>
  <si>
    <t>V16.2.2</t>
  </si>
  <si>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</si>
  <si>
    <t>Application timestamps are recorded, but centralized clock synchronization policy is not documented.</t>
  </si>
  <si>
    <t>AuditLog.java; SecurityAlert.java</t>
  </si>
  <si>
    <t>V16.2.3</t>
  </si>
  <si>
    <t>Verify that the application only stores or broadcasts logs to the files and services that are documented in the log inventory.</t>
  </si>
  <si>
    <t>Log destinations and allowed sinks are not yet formally defined in a logging inventory.</t>
  </si>
  <si>
    <t>V16.2.4</t>
  </si>
  <si>
    <t>Verify that logs can be read and correlated by the log processor that is in use, preferably by using a common logging format.</t>
  </si>
  <si>
    <t>Log format standardization and correlation capability (e.g., request IDs) are not yet defined.</t>
  </si>
  <si>
    <t>V16.2.5</t>
  </si>
  <si>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</si>
  <si>
    <t>Audit log details are sanitized and tests verify anonymous/sensitive data handling.</t>
  </si>
  <si>
    <t>AuditLogService.java; AnonymousDataLoggingTest</t>
  </si>
  <si>
    <t>V16.3</t>
  </si>
  <si>
    <t>Security Events</t>
  </si>
  <si>
    <t>V16.3.1</t>
  </si>
  <si>
    <t>Verify that all authentication operations are logged, including successful and unsuccessful attempts. Additional metadata, such as the type of authentication or factors used, should also be collected.</t>
  </si>
  <si>
    <t>Not all authentication events are logged in Sprint 1. Critical business/security operations are logged.</t>
  </si>
  <si>
    <t>AuthService.java; AuditLogService.java</t>
  </si>
  <si>
    <t>V16.3.2</t>
  </si>
  <si>
    <t>Verify that failed authorization attempts are logged. For L3, this must include logging all authorization decisions, including logging when sensitive data is accessed (without logging the sensitive data itself).</t>
  </si>
  <si>
    <t>Some unauthorized backup access attempts create security alerts; complete authorization decision logging is not implemented.</t>
  </si>
  <si>
    <t>SecurityConfig.java; SecurityMonitoringService.java</t>
  </si>
  <si>
    <t>V16.3.3</t>
  </si>
  <si>
    <t>Verify that the application logs the security events that are defined in the documentation and also logs attempts to bypass the security controls, such as input validation, business logic, and anti-automation.</t>
  </si>
  <si>
    <t>Security events such as tracking enumeration, suspicious uploads, path traversal, backup integrity failures and ownership violations are monitored.</t>
  </si>
  <si>
    <t>SecurityMonitoringService.java; TrackingCodeEnumerationTest; BackupServiceIntegrationTest</t>
  </si>
  <si>
    <t>V16.3.4</t>
  </si>
  <si>
    <t>Verify that the application logs unexpected errors and security control failures such as backend TLS failures.</t>
  </si>
  <si>
    <t>Logging of unexpected errors and control failures is required but not yet explicitly defined.</t>
  </si>
  <si>
    <t>V16.4</t>
  </si>
  <si>
    <t>Log Protection</t>
  </si>
  <si>
    <t>V16.4.1</t>
  </si>
  <si>
    <t>Verify that all logging components appropriately encode data to prevent log injection.</t>
  </si>
  <si>
    <t>Audit log details remove CR/LF/control characters to reduce log injection risk.</t>
  </si>
  <si>
    <t>AuditLogService.java</t>
  </si>
  <si>
    <t>V16.4.2</t>
  </si>
  <si>
    <t>Verify that logs are protected from unauthorized access and cannot be modified.</t>
  </si>
  <si>
    <t>Audit/security endpoints are protected by RBAC and included in backups, but logs are not append-only or tamper-proof.</t>
  </si>
  <si>
    <t>SecurityConfig.java; AuditController.java; Sprint 1 limitations</t>
  </si>
  <si>
    <t>V16.4.3</t>
  </si>
  <si>
    <t>Verify that logs are securely transmitted to a logically separate system for analysis, detection, alerting, and escalation. The aim is to ensure that if the application is breached, the logs are not compromised.</t>
  </si>
  <si>
    <t>Secure log forwarding to a separate analysis system is required but not yet defined.</t>
  </si>
  <si>
    <t>V16.5</t>
  </si>
  <si>
    <t>Error Handling</t>
  </si>
  <si>
    <t>V16.5.1</t>
  </si>
  <si>
    <t>Verify that a generic message is returned to the consumer when an unexpected or security-sensitive error occurs, ensuring no exposure of sensitive internal system data such as stack traces, queries, secret keys, and tokens.</t>
  </si>
  <si>
    <t>GlobalExceptionHandler returns generic/controlled error messages and avoids stack traces in API responses.</t>
  </si>
  <si>
    <t>V16.5.2</t>
  </si>
  <si>
    <t>Verify that the application continues to operate securely when external resource access fails, for example, by using patterns such as circuit breakers or graceful degradation.</t>
  </si>
  <si>
    <t>Resilience patterns (e.g., circuit breakers, retries, graceful degradation) are required but not yet specified.</t>
  </si>
  <si>
    <t>V16.5.3</t>
  </si>
  <si>
    <t>Verify that the application fails gracefully and securely, including when an exception occurs, preventing fail-open conditions such as processing a transaction despite errors resulting from validation logic.</t>
  </si>
  <si>
    <t>A centralized exception handler handles validation, access denied, missing parameters and unexpected errors safely.</t>
  </si>
  <si>
    <t>GlobalExceptionHandler.java</t>
  </si>
  <si>
    <t>V16.5.4</t>
  </si>
  <si>
    <t>Verify that a "last resort" error handler is defined which will catch all unhandled exceptions. This is both to avoid losing error details that must go to log files and to ensure that an error does not take down the entire application process, leading to a loss of availability.</t>
  </si>
  <si>
    <t>A catch-all Exception handler provides last-resort JSON error handling.</t>
  </si>
  <si>
    <t>V17.1</t>
  </si>
  <si>
    <t>TURN Server</t>
  </si>
  <si>
    <t>V17.1.1</t>
  </si>
  <si>
    <t>Verify that the Traversal Using Relays around NAT (TURN) service only allows access to IP addresses that are not reserved for special purposes (e.g., internal networks, broadcast, loopback). Note that this applies to both IPv4 and IPv6 addresses.</t>
  </si>
  <si>
    <t>Not applicable – the application does not use TURN servers or NAT traversal mechanisms.</t>
  </si>
  <si>
    <t>DESOFS Phase 1: system scope excludes real-time communication/media services</t>
  </si>
  <si>
    <t>V17.1.2</t>
  </si>
  <si>
    <t>Verify that the Traversal Using Relays around NAT (TURN) service is not susceptible to resource exhaustion when legitimate users attempt to open a large number of ports on the TURN server.</t>
  </si>
  <si>
    <t>V17.2</t>
  </si>
  <si>
    <t>Media</t>
  </si>
  <si>
    <t>Sprint 1 update</t>
  </si>
  <si>
    <t>V17.2.1</t>
  </si>
  <si>
    <t>Verify that the key for the Datagram Transport Layer Security (DTLS) certificate is managed and protected based on the documented policy for management of cryptographic keys.</t>
  </si>
  <si>
    <t>Not applicable – the application does not process real-time audio/video media or use DTLS/SRTP protocols.</t>
  </si>
  <si>
    <t>Updated from Phase 1 design tracker to reflect Sprint 1 implementation evidence, tests and DevSecOps pipeline. Open in Excel to recalculate formula-based compliance percentages.</t>
  </si>
  <si>
    <t>V17.2.2</t>
  </si>
  <si>
    <t>Verify that the media server is configured to use and support approved Datagram Transport Layer Security (DTLS) cipher suites and a secure protection profile for the DTLS Extension for establishing keys for the Secure Real-time Transport Protocol (DTLS-SRTP).</t>
  </si>
  <si>
    <t>V17.2.3</t>
  </si>
  <si>
    <t>Verify that Secure Real-time Transport Protocol (SRTP) authentication is checked at the media server to prevent Real-time Transport Protocol (RTP) injection attacks from leading to either a Denial of Service condition or audio or video media insertion into media streams.</t>
  </si>
  <si>
    <t>V17.2.4</t>
  </si>
  <si>
    <t>Verify that the media server is able to continue processing incoming media traffic when encountering malformed Secure Real-time Transport Protocol (SRTP) packets.</t>
  </si>
  <si>
    <t>V17.2.5</t>
  </si>
  <si>
    <t>Verify that the media server is able to continue processing incoming media traffic during a flood of Secure Real-time Transport Protocol (SRTP) packets from legitimate users.</t>
  </si>
  <si>
    <t>V17.2.6</t>
  </si>
  <si>
    <t>Verify that the media server is not susceptible to the "ClientHello" Race Condition vulnerability in Datagram Transport Layer Security (DTLS) by checking if the media server is publicly known to be vulnerable or by performing the race condition test.</t>
  </si>
  <si>
    <t>V17.2.7</t>
  </si>
  <si>
    <t>Verify that any audio or video recording mechanisms associated with the media server are able to continue processing incoming media traffic during a flood of Secure Real-time Transport Protocol (SRTP) packets from legitimate users.</t>
  </si>
  <si>
    <t>V17.2.8</t>
  </si>
  <si>
    <t>Verify that the Datagram Transport Layer Security (DTLS) certificate is checked against the Session Description Protocol (SDP) fingerprint attribute, terminating the media stream if the check fails, to ensure the authenticity of the media stream.</t>
  </si>
  <si>
    <t>V17.3</t>
  </si>
  <si>
    <t>Signaling</t>
  </si>
  <si>
    <t>V17.3.1</t>
  </si>
  <si>
    <t>Verify that the signaling server is able to continue processing legitimate incoming signaling messages during a flood attack. This should be achieved by implementing rate limiting at the signaling level.</t>
  </si>
  <si>
    <t>Not applicable – the application does not implement signaling protocols or real-time communication services.</t>
  </si>
  <si>
    <t>V17.3.2</t>
  </si>
  <si>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</sst>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rgb="FF000000"/>
      <name val="Calibri"/>
      <family val="2"/>
    </font>
    <font>
      <i/>
      <sz val="10"/>
      <color rgb="FF595959"/>
      <name val="Cambria"/>
    </font>
    <font>
      <b/>
      <sz val="10"/>
      <name val="Cambria"/>
    </font>
    <font>
      <b/>
      <sz val="9"/>
      <name val="Cambria"/>
    </font>
    <font>
      <b/>
      <sz val="9"/>
      <color rgb="FFFFFFFF"/>
      <name val="Cambria"/>
    </font>
    <font>
      <sz val="10"/>
      <name val="Cambria"/>
    </font>
    <font>
      <b/>
      <sz val="11"/>
      <color rgb="FFFFFFFF"/>
      <name val="Cambria"/>
    </font>
    <font>
      <b/>
      <sz val="10"/>
      <color rgb="FFFFFFFF"/>
      <name val="Cambria"/>
    </font>
    <font>
      <b/>
      <sz val="10"/>
      <color rgb="FF1F3864"/>
      <name val="Cambria"/>
    </font>
    <font>
      <b/>
      <sz val="10"/>
      <color rgb="FFFFFFFF"/>
      <name val="Cambria"/>
      <family val="1"/>
    </font>
    <font>
      <b/>
      <sz val="16"/>
      <color rgb="FF1F4E78"/>
      <name val="Calibri"/>
    </font>
    <font>
      <b/>
      <sz val="11"/>
      <color rgb="FF1F4E78"/>
      <name val="Calibri"/>
    </font>
    <font>
      <b/>
      <sz val="11"/>
      <color rgb="FFFFFFFF"/>
      <name val="Calibri"/>
    </font>
    <font>
      <b/>
      <sz val="11"/>
      <name val="Calibri"/>
    </font>
  </fonts>
  <fills count="16">
    <fill>
      <patternFill patternType="none"/>
    </fill>
    <fill>
      <patternFill patternType="gray125"/>
    </fill>
    <fill>
      <patternFill patternType="solid">
        <fgColor rgb="FF1F3864"/>
      </patternFill>
    </fill>
    <fill>
      <patternFill patternType="solid">
        <fgColor rgb="FFFFFFFF"/>
      </patternFill>
    </fill>
    <fill>
      <patternFill patternType="solid">
        <fgColor rgb="FFF7FBFF"/>
      </patternFill>
    </fill>
    <fill>
      <patternFill patternType="solid">
        <fgColor rgb="FFD6E4F0"/>
      </patternFill>
    </fill>
    <fill>
      <patternFill patternType="solid">
        <fgColor rgb="FFFFEB9C"/>
      </patternFill>
    </fill>
    <fill>
      <patternFill patternType="solid">
        <fgColor rgb="FFC6EFCE"/>
      </patternFill>
    </fill>
    <fill>
      <patternFill patternType="solid">
        <fgColor rgb="FFFABF8F"/>
      </patternFill>
    </fill>
    <fill>
      <patternFill patternType="solid">
        <fgColor rgb="FFFFEB9C"/>
        <bgColor indexed="64"/>
      </patternFill>
    </fill>
    <fill>
      <patternFill patternType="solid">
        <fgColor rgb="FFF7FBFF"/>
        <bgColor indexed="64"/>
      </patternFill>
    </fill>
    <fill>
      <patternFill patternType="solid">
        <fgColor rgb="FF1F4E78"/>
      </patternFill>
    </fill>
    <fill>
      <patternFill patternType="solid">
        <fgColor rgb="FFC6EFCE"/>
      </patternFill>
    </fill>
    <fill>
      <patternFill patternType="solid">
        <fgColor rgb="FFFFEB9C"/>
      </patternFill>
    </fill>
    <fill>
      <patternFill patternType="solid">
        <fgColor rgb="FFD9EAD3"/>
      </patternFill>
    </fill>
    <fill>
      <patternFill patternType="solid">
        <fgColor rgb="FFF4CCCC"/>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42">
    <xf numFmtId="0" fontId="0" fillId="0" borderId="0" xfId="0"/>
    <xf numFmtId="0" fontId="3" fillId="0" borderId="0" xfId="0" applyFont="1" applyAlignment="1">
      <alignment horizontal="center" vertical="center"/>
    </xf>
    <xf numFmtId="0" fontId="4" fillId="2" borderId="1" xfId="0" applyFont="1" applyFill="1" applyBorder="1" applyAlignment="1">
      <alignment horizontal="center" vertical="center" wrapText="1"/>
    </xf>
    <xf numFmtId="0" fontId="5" fillId="3" borderId="1" xfId="0" applyFont="1" applyFill="1" applyBorder="1" applyAlignment="1">
      <alignment horizontal="left" vertical="center"/>
    </xf>
    <xf numFmtId="0" fontId="5" fillId="3" borderId="1" xfId="0" applyFont="1" applyFill="1" applyBorder="1" applyAlignment="1">
      <alignment horizontal="center" vertical="center"/>
    </xf>
    <xf numFmtId="9" fontId="5" fillId="3" borderId="1" xfId="0" applyNumberFormat="1" applyFont="1" applyFill="1" applyBorder="1" applyAlignment="1">
      <alignment horizontal="center" vertical="center"/>
    </xf>
    <xf numFmtId="0" fontId="5" fillId="4" borderId="1" xfId="0" applyFont="1" applyFill="1" applyBorder="1" applyAlignment="1">
      <alignment horizontal="left" vertical="center"/>
    </xf>
    <xf numFmtId="0" fontId="5" fillId="4" borderId="1" xfId="0" applyFont="1" applyFill="1" applyBorder="1" applyAlignment="1">
      <alignment horizontal="center" vertical="center"/>
    </xf>
    <xf numFmtId="9" fontId="5" fillId="4" borderId="1" xfId="0" applyNumberFormat="1" applyFont="1" applyFill="1" applyBorder="1" applyAlignment="1">
      <alignment horizontal="center" vertical="center"/>
    </xf>
    <xf numFmtId="0" fontId="6" fillId="2" borderId="1" xfId="0" applyFont="1" applyFill="1" applyBorder="1"/>
    <xf numFmtId="0" fontId="7" fillId="2" borderId="1" xfId="0" applyFont="1" applyFill="1" applyBorder="1" applyAlignment="1">
      <alignment horizontal="center" vertical="center"/>
    </xf>
    <xf numFmtId="9" fontId="7" fillId="2" borderId="1" xfId="0" applyNumberFormat="1" applyFont="1" applyFill="1" applyBorder="1" applyAlignment="1">
      <alignment horizontal="center" vertical="center"/>
    </xf>
    <xf numFmtId="0" fontId="7" fillId="2" borderId="1" xfId="0" applyFont="1" applyFill="1" applyBorder="1" applyAlignment="1">
      <alignment horizontal="center" vertical="center" wrapText="1"/>
    </xf>
    <xf numFmtId="0" fontId="0" fillId="0" borderId="0" xfId="0" applyAlignment="1">
      <alignment vertical="top" wrapText="1"/>
    </xf>
    <xf numFmtId="0" fontId="9" fillId="2" borderId="1" xfId="0" applyFont="1" applyFill="1" applyBorder="1" applyAlignment="1">
      <alignment horizontal="center" vertical="center" wrapText="1"/>
    </xf>
    <xf numFmtId="0" fontId="12" fillId="11" borderId="2" xfId="0" applyFont="1" applyFill="1" applyBorder="1" applyAlignment="1">
      <alignment vertical="center" wrapText="1"/>
    </xf>
    <xf numFmtId="0" fontId="13" fillId="0" borderId="2" xfId="0" applyFont="1" applyBorder="1" applyAlignment="1">
      <alignment vertical="top" wrapText="1"/>
    </xf>
    <xf numFmtId="0" fontId="0" fillId="0" borderId="2" xfId="0" applyBorder="1" applyAlignment="1">
      <alignment vertical="top" wrapText="1"/>
    </xf>
    <xf numFmtId="0" fontId="11" fillId="0" borderId="0" xfId="0" applyFont="1" applyAlignment="1">
      <alignment vertical="top" wrapText="1"/>
    </xf>
    <xf numFmtId="0" fontId="8" fillId="5" borderId="1" xfId="0" applyFont="1" applyFill="1" applyBorder="1" applyAlignment="1">
      <alignment vertical="top" wrapText="1"/>
    </xf>
    <xf numFmtId="0" fontId="0" fillId="3" borderId="1" xfId="0" applyFill="1" applyBorder="1" applyAlignment="1">
      <alignment vertical="top" wrapText="1"/>
    </xf>
    <xf numFmtId="0" fontId="2" fillId="6" borderId="1" xfId="0" applyFont="1" applyFill="1" applyBorder="1" applyAlignment="1">
      <alignment vertical="top" wrapText="1"/>
    </xf>
    <xf numFmtId="0" fontId="0" fillId="12" borderId="1" xfId="0" applyFill="1" applyBorder="1" applyAlignment="1">
      <alignment vertical="top" wrapText="1"/>
    </xf>
    <xf numFmtId="0" fontId="0" fillId="4" borderId="1" xfId="0" applyFill="1" applyBorder="1" applyAlignment="1">
      <alignment vertical="top" wrapText="1"/>
    </xf>
    <xf numFmtId="0" fontId="0" fillId="13" borderId="1" xfId="0" applyFill="1" applyBorder="1" applyAlignment="1">
      <alignment vertical="top" wrapText="1"/>
    </xf>
    <xf numFmtId="0" fontId="2" fillId="7" borderId="1" xfId="0" applyFont="1" applyFill="1" applyBorder="1" applyAlignment="1">
      <alignment vertical="top" wrapText="1"/>
    </xf>
    <xf numFmtId="0" fontId="0" fillId="14" borderId="1" xfId="0" applyFill="1" applyBorder="1" applyAlignment="1">
      <alignment vertical="top" wrapText="1"/>
    </xf>
    <xf numFmtId="0" fontId="2" fillId="8" borderId="1" xfId="0" applyFont="1" applyFill="1" applyBorder="1" applyAlignment="1">
      <alignment vertical="top" wrapText="1"/>
    </xf>
    <xf numFmtId="0" fontId="0" fillId="15" borderId="1" xfId="0" applyFill="1" applyBorder="1" applyAlignment="1">
      <alignment vertical="top" wrapText="1"/>
    </xf>
    <xf numFmtId="0" fontId="2" fillId="9" borderId="1" xfId="0" applyFont="1" applyFill="1" applyBorder="1" applyAlignment="1">
      <alignment vertical="top" wrapText="1"/>
    </xf>
    <xf numFmtId="0" fontId="0" fillId="0" borderId="1" xfId="0" applyBorder="1" applyAlignment="1">
      <alignment vertical="top" wrapText="1"/>
    </xf>
    <xf numFmtId="0" fontId="0" fillId="10" borderId="1" xfId="0" applyFill="1" applyBorder="1" applyAlignment="1">
      <alignment vertical="top" wrapText="1"/>
    </xf>
    <xf numFmtId="0" fontId="11" fillId="0" borderId="0" xfId="0" applyFont="1"/>
    <xf numFmtId="0" fontId="12" fillId="11" borderId="2" xfId="0" applyFont="1" applyFill="1" applyBorder="1" applyAlignment="1">
      <alignment vertical="top" wrapText="1"/>
    </xf>
    <xf numFmtId="0" fontId="0" fillId="12" borderId="2" xfId="0" applyFill="1" applyBorder="1" applyAlignment="1">
      <alignment vertical="top" wrapText="1"/>
    </xf>
    <xf numFmtId="0" fontId="0" fillId="13" borderId="2" xfId="0" applyFill="1" applyBorder="1" applyAlignment="1">
      <alignment vertical="top" wrapText="1"/>
    </xf>
    <xf numFmtId="0" fontId="0" fillId="14" borderId="2" xfId="0" applyFill="1" applyBorder="1" applyAlignment="1">
      <alignment vertical="top" wrapText="1"/>
    </xf>
    <xf numFmtId="0" fontId="0" fillId="15" borderId="2" xfId="0" applyFill="1" applyBorder="1" applyAlignment="1">
      <alignment vertical="top" wrapText="1"/>
    </xf>
    <xf numFmtId="0" fontId="10" fillId="2" borderId="0" xfId="0" applyFont="1" applyFill="1" applyAlignment="1">
      <alignment horizontal="center" vertical="center"/>
    </xf>
    <xf numFmtId="0" fontId="0" fillId="0" borderId="0" xfId="0"/>
    <xf numFmtId="0" fontId="2" fillId="0" borderId="0" xfId="0" applyFont="1"/>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barChart>
        <c:barDir val="bar"/>
        <c:grouping val="clustered"/>
        <c:varyColors val="0"/>
        <c:ser>
          <c:idx val="0"/>
          <c:order val="0"/>
          <c:tx>
            <c:strRef>
              <c:f>Summary!$E$5</c:f>
              <c:strCache>
                <c:ptCount val="1"/>
                <c:pt idx="0">
                  <c:v>L1
%</c:v>
                </c:pt>
              </c:strCache>
            </c:strRef>
          </c:tx>
          <c:spPr>
            <a:solidFill>
              <a:srgbClr val="C6EFCE"/>
            </a:solidFill>
            <a:ln>
              <a:noFill/>
              <a:prstDash val="solid"/>
            </a:ln>
          </c:spPr>
          <c:invertIfNegative val="0"/>
          <c:dLbls>
            <c:spPr>
              <a:noFill/>
              <a:ln>
                <a:noFill/>
                <a:prstDash val="solid"/>
              </a:ln>
            </c:spPr>
            <c:txPr>
              <a:bodyPr anchorCtr="1"/>
              <a:lstStyle/>
              <a:p>
                <a:pPr>
                  <a:defRPr sz="1000" b="0" spc="-1">
                    <a:latin typeface="Arial"/>
                    <a:ea typeface="Arial"/>
                    <a:cs typeface="Arial"/>
                  </a:defRPr>
                </a:pPr>
                <a:endParaRPr lang="pt-PT"/>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Summary!$E$6:$E$22</c:f>
              <c:numCache>
                <c:formatCode>0%</c:formatCode>
                <c:ptCount val="17"/>
                <c:pt idx="0">
                  <c:v>0.375</c:v>
                </c:pt>
                <c:pt idx="1">
                  <c:v>1</c:v>
                </c:pt>
                <c:pt idx="2">
                  <c:v>0.375</c:v>
                </c:pt>
                <c:pt idx="3">
                  <c:v>0.5</c:v>
                </c:pt>
                <c:pt idx="4">
                  <c:v>1</c:v>
                </c:pt>
                <c:pt idx="5">
                  <c:v>0.23076923076923078</c:v>
                </c:pt>
                <c:pt idx="6">
                  <c:v>0.5</c:v>
                </c:pt>
                <c:pt idx="7">
                  <c:v>1</c:v>
                </c:pt>
                <c:pt idx="8">
                  <c:v>1</c:v>
                </c:pt>
                <c:pt idx="9">
                  <c:v>0</c:v>
                </c:pt>
                <c:pt idx="10">
                  <c:v>0.66666666666666663</c:v>
                </c:pt>
                <c:pt idx="11">
                  <c:v>0</c:v>
                </c:pt>
                <c:pt idx="12">
                  <c:v>0</c:v>
                </c:pt>
                <c:pt idx="13">
                  <c:v>0.5</c:v>
                </c:pt>
                <c:pt idx="14">
                  <c:v>0.33333333333333331</c:v>
                </c:pt>
                <c:pt idx="15" formatCode="General">
                  <c:v>0</c:v>
                </c:pt>
                <c:pt idx="16" formatCode="General">
                  <c:v>0</c:v>
                </c:pt>
              </c:numCache>
            </c:numRef>
          </c:val>
          <c:extLst>
            <c:ext xmlns:c16="http://schemas.microsoft.com/office/drawing/2014/chart" uri="{C3380CC4-5D6E-409C-BE32-E72D297353CC}">
              <c16:uniqueId val="{00000000-1C4B-4857-8B1B-CF57EA830163}"/>
            </c:ext>
          </c:extLst>
        </c:ser>
        <c:ser>
          <c:idx val="1"/>
          <c:order val="1"/>
          <c:tx>
            <c:strRef>
              <c:f>Summary!$H$5</c:f>
              <c:strCache>
                <c:ptCount val="1"/>
                <c:pt idx="0">
                  <c:v>L2
%</c:v>
                </c:pt>
              </c:strCache>
            </c:strRef>
          </c:tx>
          <c:spPr>
            <a:solidFill>
              <a:srgbClr val="FFEB9C"/>
            </a:solidFill>
            <a:ln>
              <a:noFill/>
              <a:prstDash val="solid"/>
            </a:ln>
          </c:spPr>
          <c:invertIfNegative val="0"/>
          <c:dLbls>
            <c:spPr>
              <a:noFill/>
              <a:ln>
                <a:noFill/>
                <a:prstDash val="solid"/>
              </a:ln>
            </c:spPr>
            <c:txPr>
              <a:bodyPr anchorCtr="1"/>
              <a:lstStyle/>
              <a:p>
                <a:pPr>
                  <a:defRPr sz="1000" b="0" spc="-1">
                    <a:latin typeface="Arial"/>
                    <a:ea typeface="Arial"/>
                    <a:cs typeface="Arial"/>
                  </a:defRPr>
                </a:pPr>
                <a:endParaRPr lang="pt-PT"/>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Summary!$H$6:$H$22</c:f>
              <c:numCache>
                <c:formatCode>0%</c:formatCode>
                <c:ptCount val="17"/>
                <c:pt idx="0">
                  <c:v>5.2631578947368418E-2</c:v>
                </c:pt>
                <c:pt idx="1">
                  <c:v>0</c:v>
                </c:pt>
                <c:pt idx="2">
                  <c:v>9.0909090909090912E-2</c:v>
                </c:pt>
                <c:pt idx="3">
                  <c:v>0</c:v>
                </c:pt>
                <c:pt idx="4">
                  <c:v>0.2</c:v>
                </c:pt>
                <c:pt idx="5">
                  <c:v>0</c:v>
                </c:pt>
                <c:pt idx="6">
                  <c:v>0.16666666666666666</c:v>
                </c:pt>
                <c:pt idx="7">
                  <c:v>0</c:v>
                </c:pt>
                <c:pt idx="8">
                  <c:v>0</c:v>
                </c:pt>
                <c:pt idx="9">
                  <c:v>0</c:v>
                </c:pt>
                <c:pt idx="10">
                  <c:v>9.0909090909090912E-2</c:v>
                </c:pt>
                <c:pt idx="11">
                  <c:v>0</c:v>
                </c:pt>
                <c:pt idx="12">
                  <c:v>0.16666666666666666</c:v>
                </c:pt>
                <c:pt idx="13">
                  <c:v>0</c:v>
                </c:pt>
                <c:pt idx="14">
                  <c:v>0.1</c:v>
                </c:pt>
                <c:pt idx="15">
                  <c:v>0.375</c:v>
                </c:pt>
                <c:pt idx="16">
                  <c:v>0</c:v>
                </c:pt>
              </c:numCache>
            </c:numRef>
          </c:val>
          <c:extLst>
            <c:ext xmlns:c16="http://schemas.microsoft.com/office/drawing/2014/chart" uri="{C3380CC4-5D6E-409C-BE32-E72D297353CC}">
              <c16:uniqueId val="{00000001-1C4B-4857-8B1B-CF57EA830163}"/>
            </c:ext>
          </c:extLst>
        </c:ser>
        <c:ser>
          <c:idx val="2"/>
          <c:order val="2"/>
          <c:tx>
            <c:strRef>
              <c:f>Summary!$K$5</c:f>
              <c:strCache>
                <c:ptCount val="1"/>
                <c:pt idx="0">
                  <c:v>L3
%</c:v>
                </c:pt>
              </c:strCache>
            </c:strRef>
          </c:tx>
          <c:spPr>
            <a:solidFill>
              <a:srgbClr val="FABF8F"/>
            </a:solidFill>
            <a:ln>
              <a:noFill/>
              <a:prstDash val="solid"/>
            </a:ln>
          </c:spPr>
          <c:invertIfNegative val="0"/>
          <c:dLbls>
            <c:spPr>
              <a:noFill/>
              <a:ln>
                <a:noFill/>
                <a:prstDash val="solid"/>
              </a:ln>
            </c:spPr>
            <c:txPr>
              <a:bodyPr anchorCtr="1"/>
              <a:lstStyle/>
              <a:p>
                <a:pPr>
                  <a:defRPr sz="1000" b="0" spc="-1">
                    <a:latin typeface="Arial"/>
                    <a:ea typeface="Arial"/>
                    <a:cs typeface="Arial"/>
                  </a:defRPr>
                </a:pPr>
                <a:endParaRPr lang="pt-PT"/>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Summary!$K$6:$K$21</c:f>
              <c:numCache>
                <c:formatCode>0%</c:formatCode>
                <c:ptCount val="16"/>
                <c:pt idx="0">
                  <c:v>0</c:v>
                </c:pt>
                <c:pt idx="1">
                  <c:v>0</c:v>
                </c:pt>
                <c:pt idx="2">
                  <c:v>0</c:v>
                </c:pt>
                <c:pt idx="3">
                  <c:v>0.16666666666666666</c:v>
                </c:pt>
                <c:pt idx="4">
                  <c:v>0</c:v>
                </c:pt>
                <c:pt idx="5">
                  <c:v>0</c:v>
                </c:pt>
                <c:pt idx="6">
                  <c:v>0</c:v>
                </c:pt>
                <c:pt idx="7">
                  <c:v>0</c:v>
                </c:pt>
                <c:pt idx="8" formatCode="General">
                  <c:v>0</c:v>
                </c:pt>
                <c:pt idx="9">
                  <c:v>0</c:v>
                </c:pt>
                <c:pt idx="10">
                  <c:v>0</c:v>
                </c:pt>
                <c:pt idx="11">
                  <c:v>0</c:v>
                </c:pt>
                <c:pt idx="12">
                  <c:v>0</c:v>
                </c:pt>
                <c:pt idx="13">
                  <c:v>0</c:v>
                </c:pt>
                <c:pt idx="14">
                  <c:v>0</c:v>
                </c:pt>
                <c:pt idx="15">
                  <c:v>1</c:v>
                </c:pt>
              </c:numCache>
            </c:numRef>
          </c:val>
          <c:extLst>
            <c:ext xmlns:c16="http://schemas.microsoft.com/office/drawing/2014/chart" uri="{C3380CC4-5D6E-409C-BE32-E72D297353CC}">
              <c16:uniqueId val="{00000002-1C4B-4857-8B1B-CF57EA830163}"/>
            </c:ext>
          </c:extLst>
        </c:ser>
        <c:ser>
          <c:idx val="3"/>
          <c:order val="3"/>
          <c:tx>
            <c:strRef>
              <c:f>Summary!$M$5</c:f>
              <c:strCache>
                <c:ptCount val="1"/>
                <c:pt idx="0">
                  <c:v>Overall
%</c:v>
                </c:pt>
              </c:strCache>
            </c:strRef>
          </c:tx>
          <c:spPr>
            <a:solidFill>
              <a:srgbClr val="579D1C"/>
            </a:solidFill>
            <a:ln>
              <a:noFill/>
              <a:prstDash val="solid"/>
            </a:ln>
          </c:spPr>
          <c:invertIfNegative val="0"/>
          <c:dLbls>
            <c:spPr>
              <a:noFill/>
              <a:ln>
                <a:noFill/>
                <a:prstDash val="solid"/>
              </a:ln>
            </c:spPr>
            <c:txPr>
              <a:bodyPr anchorCtr="1"/>
              <a:lstStyle/>
              <a:p>
                <a:pPr>
                  <a:defRPr sz="1000" b="0" spc="-1">
                    <a:latin typeface="Arial"/>
                    <a:ea typeface="Arial"/>
                    <a:cs typeface="Arial"/>
                  </a:defRPr>
                </a:pPr>
                <a:endParaRPr lang="pt-PT"/>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Summary!$M$6:$M$22</c:f>
              <c:numCache>
                <c:formatCode>0%</c:formatCode>
                <c:ptCount val="17"/>
                <c:pt idx="0">
                  <c:v>0.13333333333333333</c:v>
                </c:pt>
                <c:pt idx="1">
                  <c:v>0.30769230769230771</c:v>
                </c:pt>
                <c:pt idx="2">
                  <c:v>0.12903225806451613</c:v>
                </c:pt>
                <c:pt idx="3">
                  <c:v>0.125</c:v>
                </c:pt>
                <c:pt idx="4">
                  <c:v>0.38461538461538464</c:v>
                </c:pt>
                <c:pt idx="5">
                  <c:v>6.3829787234042548E-2</c:v>
                </c:pt>
                <c:pt idx="6">
                  <c:v>0.26315789473684209</c:v>
                </c:pt>
                <c:pt idx="7">
                  <c:v>0.30769230769230771</c:v>
                </c:pt>
                <c:pt idx="8">
                  <c:v>0.5714285714285714</c:v>
                </c:pt>
                <c:pt idx="9">
                  <c:v>0</c:v>
                </c:pt>
                <c:pt idx="10">
                  <c:v>0.125</c:v>
                </c:pt>
                <c:pt idx="11">
                  <c:v>0</c:v>
                </c:pt>
                <c:pt idx="12">
                  <c:v>9.5238095238095233E-2</c:v>
                </c:pt>
                <c:pt idx="13">
                  <c:v>7.6923076923076927E-2</c:v>
                </c:pt>
                <c:pt idx="14">
                  <c:v>9.5238095238095233E-2</c:v>
                </c:pt>
                <c:pt idx="15">
                  <c:v>0.41176470588235292</c:v>
                </c:pt>
                <c:pt idx="16">
                  <c:v>0</c:v>
                </c:pt>
              </c:numCache>
            </c:numRef>
          </c:val>
          <c:extLst>
            <c:ext xmlns:c16="http://schemas.microsoft.com/office/drawing/2014/chart" uri="{C3380CC4-5D6E-409C-BE32-E72D297353CC}">
              <c16:uniqueId val="{00000003-1C4B-4857-8B1B-CF57EA830163}"/>
            </c:ext>
          </c:extLst>
        </c:ser>
        <c:dLbls>
          <c:showLegendKey val="0"/>
          <c:showVal val="0"/>
          <c:showCatName val="0"/>
          <c:showSerName val="0"/>
          <c:showPercent val="0"/>
          <c:showBubbleSize val="0"/>
        </c:dLbls>
        <c:gapWidth val="100"/>
        <c:axId val="48650112"/>
        <c:axId val="48672768"/>
      </c:barChart>
      <c:catAx>
        <c:axId val="48650112"/>
        <c:scaling>
          <c:orientation val="minMax"/>
        </c:scaling>
        <c:delete val="0"/>
        <c:axPos val="l"/>
        <c:numFmt formatCode="General" sourceLinked="1"/>
        <c:majorTickMark val="out"/>
        <c:minorTickMark val="none"/>
        <c:tickLblPos val="nextTo"/>
        <c:spPr>
          <a:ln>
            <a:solidFill>
              <a:srgbClr val="B3B3B3"/>
            </a:solidFill>
            <a:prstDash val="solid"/>
          </a:ln>
        </c:spPr>
        <c:txPr>
          <a:bodyPr anchorCtr="1"/>
          <a:lstStyle/>
          <a:p>
            <a:pPr>
              <a:defRPr sz="1000" b="0" spc="-1">
                <a:latin typeface="Arial"/>
                <a:ea typeface="Arial"/>
                <a:cs typeface="Arial"/>
              </a:defRPr>
            </a:pPr>
            <a:endParaRPr lang="pt-PT"/>
          </a:p>
        </c:txPr>
        <c:crossAx val="48672768"/>
        <c:crosses val="autoZero"/>
        <c:auto val="1"/>
        <c:lblAlgn val="ctr"/>
        <c:lblOffset val="100"/>
        <c:noMultiLvlLbl val="0"/>
      </c:catAx>
      <c:valAx>
        <c:axId val="48672768"/>
        <c:scaling>
          <c:orientation val="minMax"/>
        </c:scaling>
        <c:delete val="0"/>
        <c:axPos val="b"/>
        <c:majorGridlines>
          <c:spPr>
            <a:ln>
              <a:solidFill>
                <a:srgbClr val="B3B3B3"/>
              </a:solidFill>
              <a:prstDash val="solid"/>
            </a:ln>
          </c:spPr>
        </c:majorGridlines>
        <c:numFmt formatCode="0%" sourceLinked="0"/>
        <c:majorTickMark val="out"/>
        <c:minorTickMark val="none"/>
        <c:tickLblPos val="nextTo"/>
        <c:spPr>
          <a:ln>
            <a:solidFill>
              <a:srgbClr val="B3B3B3"/>
            </a:solidFill>
            <a:prstDash val="solid"/>
          </a:ln>
        </c:spPr>
        <c:txPr>
          <a:bodyPr anchorCtr="1"/>
          <a:lstStyle/>
          <a:p>
            <a:pPr>
              <a:defRPr sz="1000" b="0" spc="-1">
                <a:latin typeface="Arial"/>
                <a:ea typeface="Arial"/>
                <a:cs typeface="Arial"/>
              </a:defRPr>
            </a:pPr>
            <a:endParaRPr lang="pt-PT"/>
          </a:p>
        </c:txPr>
        <c:crossAx val="48650112"/>
        <c:crosses val="autoZero"/>
        <c:crossBetween val="between"/>
      </c:valAx>
    </c:plotArea>
    <c:legend>
      <c:legendPos val="r"/>
      <c:overlay val="0"/>
      <c:spPr>
        <a:noFill/>
        <a:ln>
          <a:noFill/>
          <a:prstDash val="solid"/>
        </a:ln>
      </c:spPr>
      <c:txPr>
        <a:bodyPr anchorCtr="1"/>
        <a:lstStyle/>
        <a:p>
          <a:pPr>
            <a:defRPr sz="1000" b="0" spc="-1">
              <a:latin typeface="Arial"/>
              <a:ea typeface="Arial"/>
              <a:cs typeface="Arial"/>
            </a:defRPr>
          </a:pPr>
          <a:endParaRPr lang="pt-PT"/>
        </a:p>
      </c:txPr>
    </c:legend>
    <c:plotVisOnly val="1"/>
    <c:dispBlanksAs val="gap"/>
    <c:showDLblsOverMax val="1"/>
  </c:chart>
  <c:spPr>
    <a:solidFill>
      <a:srgbClr val="FFFFFF"/>
    </a:solidFill>
    <a:ln w="9360">
      <a:noFill/>
      <a:prstDash val="solid"/>
    </a:ln>
  </c:spPr>
  <c:printSettings>
    <c:headerFooter/>
    <c:pageMargins b="0.78740157499999996" l="0.511811024" r="0.511811024" t="0.78740157499999996" header="0.31496062000000002" footer="0.3149606200000000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38880</xdr:colOff>
      <xdr:row>24</xdr:row>
      <xdr:rowOff>10440</xdr:rowOff>
    </xdr:from>
    <xdr:to>
      <xdr:col>12</xdr:col>
      <xdr:colOff>857520</xdr:colOff>
      <xdr:row>47</xdr:row>
      <xdr:rowOff>56880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
  <sheetViews>
    <sheetView showGridLines="0" workbookViewId="0">
      <selection activeCell="E18" sqref="E18"/>
    </sheetView>
  </sheetViews>
  <sheetFormatPr defaultColWidth="8.44140625" defaultRowHeight="14.4" x14ac:dyDescent="0.3"/>
  <cols>
    <col min="1" max="1" width="34" customWidth="1"/>
    <col min="2" max="13" width="11" customWidth="1"/>
  </cols>
  <sheetData>
    <row r="1" spans="1:16" ht="36" customHeight="1" x14ac:dyDescent="0.3">
      <c r="A1" s="38" t="s">
        <v>0</v>
      </c>
      <c r="B1" s="39"/>
      <c r="C1" s="39"/>
      <c r="D1" s="39"/>
      <c r="E1" s="39"/>
      <c r="F1" s="39"/>
      <c r="G1" s="39"/>
      <c r="H1" s="39"/>
      <c r="I1" s="39"/>
      <c r="J1" s="39"/>
      <c r="K1" s="39"/>
      <c r="L1" s="39"/>
      <c r="M1" s="39"/>
      <c r="N1" s="39"/>
      <c r="O1" s="39"/>
      <c r="P1" s="39"/>
    </row>
    <row r="2" spans="1:16" ht="20.100000000000001" customHeight="1" x14ac:dyDescent="0.3">
      <c r="A2" s="41"/>
      <c r="B2" s="39"/>
      <c r="C2" s="39"/>
      <c r="D2" s="39"/>
      <c r="E2" s="39"/>
      <c r="F2" s="39"/>
      <c r="G2" s="39"/>
      <c r="H2" s="39"/>
      <c r="I2" s="39"/>
      <c r="J2" s="39"/>
      <c r="K2" s="39"/>
      <c r="L2" s="39"/>
      <c r="M2" s="39"/>
      <c r="N2" s="39"/>
      <c r="O2" s="39"/>
      <c r="P2" s="39"/>
    </row>
    <row r="3" spans="1:16" ht="18" customHeight="1" x14ac:dyDescent="0.3">
      <c r="A3" s="40"/>
      <c r="B3" s="39"/>
      <c r="C3" s="1"/>
      <c r="E3" s="1"/>
      <c r="G3" s="1"/>
      <c r="I3" s="1"/>
      <c r="K3" s="1"/>
      <c r="M3" s="1"/>
      <c r="O3" s="1"/>
    </row>
    <row r="5" spans="1:16" ht="32.1" customHeight="1" x14ac:dyDescent="0.3">
      <c r="A5" s="2" t="s">
        <v>1</v>
      </c>
      <c r="B5" s="2" t="s">
        <v>2</v>
      </c>
      <c r="C5" s="2" t="s">
        <v>3</v>
      </c>
      <c r="D5" s="2" t="s">
        <v>4</v>
      </c>
      <c r="E5" s="2" t="s">
        <v>5</v>
      </c>
      <c r="F5" s="2" t="s">
        <v>6</v>
      </c>
      <c r="G5" s="2" t="s">
        <v>7</v>
      </c>
      <c r="H5" s="2" t="s">
        <v>8</v>
      </c>
      <c r="I5" s="2" t="s">
        <v>9</v>
      </c>
      <c r="J5" s="2" t="s">
        <v>10</v>
      </c>
      <c r="K5" s="2" t="s">
        <v>11</v>
      </c>
      <c r="L5" s="2" t="s">
        <v>12</v>
      </c>
      <c r="M5" s="2" t="s">
        <v>13</v>
      </c>
    </row>
    <row r="6" spans="1:16" ht="18" customHeight="1" x14ac:dyDescent="0.3">
      <c r="A6" s="3" t="s">
        <v>14</v>
      </c>
      <c r="B6" s="4">
        <v>30</v>
      </c>
      <c r="C6" s="4">
        <v>8</v>
      </c>
      <c r="D6" s="4">
        <f>COUNTIFS('V1 - Encoding and Sanitization'!$F$2:$F$36,"Compliant",'V1 - Encoding and Sanitization'!$E$2:$E$36,1)</f>
        <v>3</v>
      </c>
      <c r="E6" s="5">
        <f t="shared" ref="E6:E20" si="0">IF(C6=0,"",D6/C6)</f>
        <v>0.375</v>
      </c>
      <c r="F6" s="4">
        <v>19</v>
      </c>
      <c r="G6" s="4">
        <f>COUNTIFS('V1 - Encoding and Sanitization'!$F$2:$F$36,"Compliant",'V1 - Encoding and Sanitization'!$E$2:$E$36,2)</f>
        <v>1</v>
      </c>
      <c r="H6" s="5">
        <f t="shared" ref="H6:H22" si="1">IF(F6=0,"",G6/F6)</f>
        <v>5.2631578947368418E-2</v>
      </c>
      <c r="I6" s="4">
        <v>3</v>
      </c>
      <c r="J6" s="4">
        <f>COUNTIFS('V1 - Encoding and Sanitization'!$F$2:$F$36,"Compliant",'V1 - Encoding and Sanitization'!$E$2:$E$36,3)</f>
        <v>0</v>
      </c>
      <c r="K6" s="5">
        <f t="shared" ref="K6:K13" si="2">IF(I6=0,"",J6/I6)</f>
        <v>0</v>
      </c>
      <c r="L6" s="4">
        <f>COUNTIF('V1 - Encoding and Sanitization'!$F$2:$F$36,"Compliant")</f>
        <v>4</v>
      </c>
      <c r="M6" s="5">
        <f t="shared" ref="M6:M22" si="3">IF(B6=0,"",L6/B6)</f>
        <v>0.13333333333333333</v>
      </c>
    </row>
    <row r="7" spans="1:16" ht="18" customHeight="1" x14ac:dyDescent="0.3">
      <c r="A7" s="6" t="s">
        <v>15</v>
      </c>
      <c r="B7" s="7">
        <v>13</v>
      </c>
      <c r="C7" s="7">
        <v>4</v>
      </c>
      <c r="D7" s="7">
        <f>COUNTIFS('V2 - Validation and Business Lo'!$F$2:$F$18,"Compliant",'V2 - Validation and Business Lo'!$E$2:$E$18,1)</f>
        <v>4</v>
      </c>
      <c r="E7" s="8">
        <f t="shared" si="0"/>
        <v>1</v>
      </c>
      <c r="F7" s="7">
        <v>7</v>
      </c>
      <c r="G7" s="7">
        <f>COUNTIFS('V2 - Validation and Business Lo'!$F$2:$F$18,"Compliant",'V2 - Validation and Business Lo'!$E$2:$E$18,2)</f>
        <v>0</v>
      </c>
      <c r="H7" s="8">
        <f t="shared" si="1"/>
        <v>0</v>
      </c>
      <c r="I7" s="7">
        <v>2</v>
      </c>
      <c r="J7" s="7">
        <f>COUNTIFS('V2 - Validation and Business Lo'!$F$2:$F$18,"Compliant",'V2 - Validation and Business Lo'!$E$2:$E$18,3)</f>
        <v>0</v>
      </c>
      <c r="K7" s="8">
        <f t="shared" si="2"/>
        <v>0</v>
      </c>
      <c r="L7" s="7">
        <f>COUNTIF('V2 - Validation and Business Lo'!$F$2:$F$18,"Compliant")</f>
        <v>4</v>
      </c>
      <c r="M7" s="8">
        <f t="shared" si="3"/>
        <v>0.30769230769230771</v>
      </c>
    </row>
    <row r="8" spans="1:16" ht="18" customHeight="1" x14ac:dyDescent="0.3">
      <c r="A8" s="3" t="s">
        <v>16</v>
      </c>
      <c r="B8" s="4">
        <v>31</v>
      </c>
      <c r="C8" s="4">
        <v>8</v>
      </c>
      <c r="D8" s="4">
        <f>COUNTIFS('V3 - Web Frontend Security'!$F$2:$F$39,"Compliant",'V3 - Web Frontend Security'!$E$2:$E$39,1)</f>
        <v>3</v>
      </c>
      <c r="E8" s="5">
        <f t="shared" si="0"/>
        <v>0.375</v>
      </c>
      <c r="F8" s="4">
        <v>11</v>
      </c>
      <c r="G8" s="4">
        <f>COUNTIFS('V3 - Web Frontend Security'!$F$2:$F$39,"Compliant",'V3 - Web Frontend Security'!$E$2:$E$39,2)</f>
        <v>1</v>
      </c>
      <c r="H8" s="5">
        <f t="shared" si="1"/>
        <v>9.0909090909090912E-2</v>
      </c>
      <c r="I8" s="4">
        <v>12</v>
      </c>
      <c r="J8" s="4">
        <f>COUNTIFS('V3 - Web Frontend Security'!$F$2:$F$39,"Compliant",'V3 - Web Frontend Security'!$E$2:$E$39,3)</f>
        <v>0</v>
      </c>
      <c r="K8" s="5">
        <f t="shared" si="2"/>
        <v>0</v>
      </c>
      <c r="L8" s="4">
        <f>COUNTIF('V3 - Web Frontend Security'!$F$2:$F$39,"Compliant")</f>
        <v>4</v>
      </c>
      <c r="M8" s="5">
        <f t="shared" si="3"/>
        <v>0.12903225806451613</v>
      </c>
    </row>
    <row r="9" spans="1:16" ht="18" customHeight="1" x14ac:dyDescent="0.3">
      <c r="A9" s="6" t="s">
        <v>17</v>
      </c>
      <c r="B9" s="7">
        <v>16</v>
      </c>
      <c r="C9" s="7">
        <v>2</v>
      </c>
      <c r="D9" s="7">
        <f>COUNTIFS('V4 - API and Web Service'!$F$2:$F$21,"Compliant",'V4 - API and Web Service'!$E$2:$E$21,1)</f>
        <v>1</v>
      </c>
      <c r="E9" s="8">
        <f t="shared" si="0"/>
        <v>0.5</v>
      </c>
      <c r="F9" s="7">
        <v>8</v>
      </c>
      <c r="G9" s="7">
        <f>COUNTIFS('V4 - API and Web Service'!$F$2:$F$21,"Compliant",'V4 - API and Web Service'!$E$2:$E$21,2)</f>
        <v>0</v>
      </c>
      <c r="H9" s="8">
        <f t="shared" si="1"/>
        <v>0</v>
      </c>
      <c r="I9" s="7">
        <v>6</v>
      </c>
      <c r="J9" s="7">
        <f>COUNTIFS('V4 - API and Web Service'!$F$2:$F$21,"Compliant",'V4 - API and Web Service'!$E$2:$E$21,3)</f>
        <v>1</v>
      </c>
      <c r="K9" s="8">
        <f t="shared" si="2"/>
        <v>0.16666666666666666</v>
      </c>
      <c r="L9" s="7">
        <f>COUNTIF('V4 - API and Web Service'!$F$2:$F$21,"Compliant")</f>
        <v>2</v>
      </c>
      <c r="M9" s="8">
        <f t="shared" si="3"/>
        <v>0.125</v>
      </c>
      <c r="N9" s="33" t="s">
        <v>18</v>
      </c>
      <c r="O9" s="33" t="s">
        <v>19</v>
      </c>
    </row>
    <row r="10" spans="1:16" ht="18" customHeight="1" x14ac:dyDescent="0.3">
      <c r="A10" s="3" t="s">
        <v>20</v>
      </c>
      <c r="B10" s="4">
        <v>13</v>
      </c>
      <c r="C10" s="4">
        <v>4</v>
      </c>
      <c r="D10" s="4">
        <f>COUNTIFS('V5 - File Handling'!$F$2:$F$18,"Compliant",'V5 - File Handling'!$E$2:$E$18,1)</f>
        <v>4</v>
      </c>
      <c r="E10" s="5">
        <f t="shared" si="0"/>
        <v>1</v>
      </c>
      <c r="F10" s="4">
        <v>5</v>
      </c>
      <c r="G10" s="4">
        <f>COUNTIFS('V5 - File Handling'!$F$2:$F$18,"Compliant",'V5 - File Handling'!$E$2:$E$18,2)</f>
        <v>1</v>
      </c>
      <c r="H10" s="5">
        <f t="shared" si="1"/>
        <v>0.2</v>
      </c>
      <c r="I10" s="4">
        <v>4</v>
      </c>
      <c r="J10" s="4">
        <f>COUNTIFS('V5 - File Handling'!$F$2:$F$18,"Compliant",'V5 - File Handling'!$E$2:$E$18,3)</f>
        <v>0</v>
      </c>
      <c r="K10" s="5">
        <f t="shared" si="2"/>
        <v>0</v>
      </c>
      <c r="L10" s="4">
        <f>COUNTIF('V5 - File Handling'!$F$2:$F$18,"Compliant")</f>
        <v>5</v>
      </c>
      <c r="M10" s="5">
        <f t="shared" si="3"/>
        <v>0.38461538461538464</v>
      </c>
      <c r="N10" s="34" t="s">
        <v>21</v>
      </c>
      <c r="O10" s="17">
        <v>50</v>
      </c>
    </row>
    <row r="11" spans="1:16" ht="18" customHeight="1" x14ac:dyDescent="0.3">
      <c r="A11" s="6" t="s">
        <v>22</v>
      </c>
      <c r="B11" s="7">
        <v>47</v>
      </c>
      <c r="C11" s="7">
        <v>13</v>
      </c>
      <c r="D11" s="7">
        <f>COUNTIFS('V6 - Authentication'!$F$2:$F$56,"Compliant",'V6 - Authentication'!$E$2:$E$56,1)</f>
        <v>3</v>
      </c>
      <c r="E11" s="8">
        <f t="shared" si="0"/>
        <v>0.23076923076923078</v>
      </c>
      <c r="F11" s="7">
        <v>22</v>
      </c>
      <c r="G11" s="7">
        <f>COUNTIFS('V6 - Authentication'!$F$2:$F$56,"Compliant",'V6 - Authentication'!$E$2:$E$56,2)</f>
        <v>0</v>
      </c>
      <c r="H11" s="8">
        <f t="shared" si="1"/>
        <v>0</v>
      </c>
      <c r="I11" s="7">
        <v>12</v>
      </c>
      <c r="J11" s="7">
        <f>COUNTIFS('V6 - Authentication'!$F$2:$F$56,"Compliant",'V6 - Authentication'!$E$2:$E$56,3)</f>
        <v>0</v>
      </c>
      <c r="K11" s="8">
        <f t="shared" si="2"/>
        <v>0</v>
      </c>
      <c r="L11" s="7">
        <f>COUNTIF('V6 - Authentication'!$F$2:$F$56,"Compliant")</f>
        <v>3</v>
      </c>
      <c r="M11" s="8">
        <f t="shared" si="3"/>
        <v>6.3829787234042548E-2</v>
      </c>
      <c r="N11" s="35" t="s">
        <v>23</v>
      </c>
      <c r="O11" s="17">
        <v>51</v>
      </c>
    </row>
    <row r="12" spans="1:16" ht="18" customHeight="1" x14ac:dyDescent="0.3">
      <c r="A12" s="3" t="s">
        <v>24</v>
      </c>
      <c r="B12" s="4">
        <v>19</v>
      </c>
      <c r="C12" s="4">
        <v>6</v>
      </c>
      <c r="D12" s="4">
        <f>COUNTIFS('V7 - Session Management'!$F$2:$F$26,"Compliant",'V7 - Session Management'!$E$2:$E$26,1)</f>
        <v>3</v>
      </c>
      <c r="E12" s="5">
        <f t="shared" si="0"/>
        <v>0.5</v>
      </c>
      <c r="F12" s="4">
        <v>12</v>
      </c>
      <c r="G12" s="4">
        <f>COUNTIFS('V7 - Session Management'!$F$2:$F$26,"Compliant",'V7 - Session Management'!$E$2:$E$26,2)</f>
        <v>2</v>
      </c>
      <c r="H12" s="5">
        <f t="shared" si="1"/>
        <v>0.16666666666666666</v>
      </c>
      <c r="I12" s="4">
        <v>1</v>
      </c>
      <c r="J12" s="4">
        <f>COUNTIFS('V7 - Session Management'!$F$2:$F$26,"Compliant",'V7 - Session Management'!$E$2:$E$26,3)</f>
        <v>0</v>
      </c>
      <c r="K12" s="5">
        <f t="shared" si="2"/>
        <v>0</v>
      </c>
      <c r="L12" s="4">
        <f>COUNTIF('V7 - Session Management'!$F$2:$F$26,"Compliant")</f>
        <v>5</v>
      </c>
      <c r="M12" s="5">
        <f t="shared" si="3"/>
        <v>0.26315789473684209</v>
      </c>
      <c r="N12" s="36" t="s">
        <v>25</v>
      </c>
      <c r="O12" s="17">
        <v>125</v>
      </c>
    </row>
    <row r="13" spans="1:16" ht="18" customHeight="1" x14ac:dyDescent="0.3">
      <c r="A13" s="6" t="s">
        <v>26</v>
      </c>
      <c r="B13" s="7">
        <v>13</v>
      </c>
      <c r="C13" s="7">
        <v>4</v>
      </c>
      <c r="D13" s="7">
        <f>COUNTIFS('V8 - Authorization'!$F$2:$F$18,"Compliant",'V8 - Authorization'!$E$2:$E$18,1)</f>
        <v>4</v>
      </c>
      <c r="E13" s="8">
        <f t="shared" si="0"/>
        <v>1</v>
      </c>
      <c r="F13" s="7">
        <v>3</v>
      </c>
      <c r="G13" s="7">
        <f>COUNTIFS('V8 - Authorization'!$F$2:$F$18,"Compliant",'V8 - Authorization'!$E$2:$E$18,2)</f>
        <v>0</v>
      </c>
      <c r="H13" s="8">
        <f t="shared" si="1"/>
        <v>0</v>
      </c>
      <c r="I13" s="7">
        <v>6</v>
      </c>
      <c r="J13" s="7">
        <f>COUNTIFS('V8 - Authorization'!$F$2:$F$18,"Compliant",'V8 - Authorization'!$E$2:$E$18,3)</f>
        <v>0</v>
      </c>
      <c r="K13" s="8">
        <f t="shared" si="2"/>
        <v>0</v>
      </c>
      <c r="L13" s="7">
        <f>COUNTIF('V8 - Authorization'!$F$2:$F$18,"Compliant")</f>
        <v>4</v>
      </c>
      <c r="M13" s="8">
        <f t="shared" si="3"/>
        <v>0.30769230769230771</v>
      </c>
      <c r="N13" s="37" t="s">
        <v>27</v>
      </c>
      <c r="O13" s="17">
        <v>119</v>
      </c>
    </row>
    <row r="14" spans="1:16" ht="18" customHeight="1" x14ac:dyDescent="0.3">
      <c r="A14" s="3" t="s">
        <v>28</v>
      </c>
      <c r="B14" s="4">
        <v>7</v>
      </c>
      <c r="C14" s="4">
        <v>4</v>
      </c>
      <c r="D14" s="4">
        <f>COUNTIFS('V9 - Self-contained Tokens'!$F$2:$F$10,"Compliant",'V9 - Self-contained Tokens'!$E$2:$E$10,1)</f>
        <v>4</v>
      </c>
      <c r="E14" s="5">
        <f t="shared" si="0"/>
        <v>1</v>
      </c>
      <c r="F14" s="4">
        <v>3</v>
      </c>
      <c r="G14" s="4">
        <f>COUNTIFS('V9 - Self-contained Tokens'!$F$2:$F$10,"Compliant",'V9 - Self-contained Tokens'!$E$2:$E$10,2)</f>
        <v>0</v>
      </c>
      <c r="H14" s="5">
        <f t="shared" si="1"/>
        <v>0</v>
      </c>
      <c r="I14" s="4">
        <v>0</v>
      </c>
      <c r="J14" s="4" t="s">
        <v>29</v>
      </c>
      <c r="K14" s="4" t="s">
        <v>29</v>
      </c>
      <c r="L14" s="4">
        <f>COUNTIF('V9 - Self-contained Tokens'!$F$2:$F$10,"Compliant")</f>
        <v>4</v>
      </c>
      <c r="M14" s="5">
        <f t="shared" si="3"/>
        <v>0.5714285714285714</v>
      </c>
      <c r="N14" s="17" t="s">
        <v>30</v>
      </c>
      <c r="O14" s="17" t="s">
        <v>31</v>
      </c>
    </row>
    <row r="15" spans="1:16" ht="18" customHeight="1" x14ac:dyDescent="0.3">
      <c r="A15" s="6" t="s">
        <v>32</v>
      </c>
      <c r="B15" s="7">
        <v>36</v>
      </c>
      <c r="C15" s="7">
        <v>5</v>
      </c>
      <c r="D15" s="7">
        <f>COUNTIFS('V10 - OAuth and OIDC'!$F$2:$F$44,"Compliant",'V10 - OAuth and OIDC'!$E$2:$E$44,1)</f>
        <v>0</v>
      </c>
      <c r="E15" s="8">
        <f t="shared" si="0"/>
        <v>0</v>
      </c>
      <c r="F15" s="7">
        <v>24</v>
      </c>
      <c r="G15" s="7">
        <f>COUNTIFS('V10 - OAuth and OIDC'!$F$2:$F$44,"Compliant",'V10 - OAuth and OIDC'!$E$2:$E$44,2)</f>
        <v>0</v>
      </c>
      <c r="H15" s="8">
        <f t="shared" si="1"/>
        <v>0</v>
      </c>
      <c r="I15" s="7">
        <v>7</v>
      </c>
      <c r="J15" s="7">
        <f>COUNTIFS('V10 - OAuth and OIDC'!$F$2:$F$44,"Compliant",'V10 - OAuth and OIDC'!$E$2:$E$44,3)</f>
        <v>0</v>
      </c>
      <c r="K15" s="8">
        <f t="shared" ref="K15:K22" si="4">IF(I15=0,"",J15/I15)</f>
        <v>0</v>
      </c>
      <c r="L15" s="7">
        <f>COUNTIF('V10 - OAuth and OIDC'!$F$2:$F$44,"Compliant")</f>
        <v>0</v>
      </c>
      <c r="M15" s="8">
        <f t="shared" si="3"/>
        <v>0</v>
      </c>
      <c r="N15" s="17" t="s">
        <v>33</v>
      </c>
      <c r="O15" s="17" t="s">
        <v>34</v>
      </c>
    </row>
    <row r="16" spans="1:16" ht="18" customHeight="1" x14ac:dyDescent="0.3">
      <c r="A16" s="3" t="s">
        <v>35</v>
      </c>
      <c r="B16" s="4">
        <v>24</v>
      </c>
      <c r="C16" s="4">
        <v>3</v>
      </c>
      <c r="D16" s="4">
        <f>COUNTIFS('V11 - Cryptography'!$F$2:$F$32,"Compliant",'V11 - Cryptography'!$E$2:$E$32,1)</f>
        <v>2</v>
      </c>
      <c r="E16" s="5">
        <f t="shared" si="0"/>
        <v>0.66666666666666663</v>
      </c>
      <c r="F16" s="4">
        <v>11</v>
      </c>
      <c r="G16" s="4">
        <f>COUNTIFS('V11 - Cryptography'!$F$2:$F$32,"Compliant",'V11 - Cryptography'!$E$2:$E$32,2)</f>
        <v>1</v>
      </c>
      <c r="H16" s="5">
        <f t="shared" si="1"/>
        <v>9.0909090909090912E-2</v>
      </c>
      <c r="I16" s="4">
        <v>10</v>
      </c>
      <c r="J16" s="4">
        <f>COUNTIFS('V11 - Cryptography'!$F$2:$F$32,"Compliant",'V11 - Cryptography'!$E$2:$E$32,3)</f>
        <v>0</v>
      </c>
      <c r="K16" s="5">
        <f t="shared" si="4"/>
        <v>0</v>
      </c>
      <c r="L16" s="4">
        <f>COUNTIF('V11 - Cryptography'!$F$2:$F$32,"Compliant")</f>
        <v>3</v>
      </c>
      <c r="M16" s="5">
        <f t="shared" si="3"/>
        <v>0.125</v>
      </c>
      <c r="N16" s="17" t="s">
        <v>36</v>
      </c>
      <c r="O16" s="17" t="s">
        <v>37</v>
      </c>
    </row>
    <row r="17" spans="1:13" ht="18" customHeight="1" x14ac:dyDescent="0.3">
      <c r="A17" s="6" t="s">
        <v>38</v>
      </c>
      <c r="B17" s="7">
        <v>12</v>
      </c>
      <c r="C17" s="7">
        <v>3</v>
      </c>
      <c r="D17" s="7">
        <f>COUNTIFS('V12 - Secure Communication'!$F$2:$F$16,"Compliant",'V12 - Secure Communication'!$E$2:$E$16,1)</f>
        <v>0</v>
      </c>
      <c r="E17" s="8">
        <f t="shared" si="0"/>
        <v>0</v>
      </c>
      <c r="F17" s="7">
        <v>6</v>
      </c>
      <c r="G17" s="7">
        <f>COUNTIFS('V12 - Secure Communication'!$F$2:$F$16,"Compliant",'V12 - Secure Communication'!$E$2:$E$16,2)</f>
        <v>0</v>
      </c>
      <c r="H17" s="8">
        <f t="shared" si="1"/>
        <v>0</v>
      </c>
      <c r="I17" s="7">
        <v>3</v>
      </c>
      <c r="J17" s="7">
        <f>COUNTIFS('V12 - Secure Communication'!$F$2:$F$16,"Compliant",'V12 - Secure Communication'!$E$2:$E$16,3)</f>
        <v>0</v>
      </c>
      <c r="K17" s="8">
        <f t="shared" si="4"/>
        <v>0</v>
      </c>
      <c r="L17" s="7">
        <f>COUNTIF('V12 - Secure Communication'!$F$2:$F$16,"Compliant")</f>
        <v>0</v>
      </c>
      <c r="M17" s="8">
        <f t="shared" si="3"/>
        <v>0</v>
      </c>
    </row>
    <row r="18" spans="1:13" ht="18" customHeight="1" x14ac:dyDescent="0.3">
      <c r="A18" s="3" t="s">
        <v>39</v>
      </c>
      <c r="B18" s="4">
        <v>21</v>
      </c>
      <c r="C18" s="4">
        <v>1</v>
      </c>
      <c r="D18" s="4">
        <f>COUNTIFS('V13 - Configuration'!$F$2:$F$26,"Compliant",'V13 - Configuration'!$E$2:$E$26,1)</f>
        <v>0</v>
      </c>
      <c r="E18" s="5">
        <f t="shared" si="0"/>
        <v>0</v>
      </c>
      <c r="F18" s="4">
        <v>12</v>
      </c>
      <c r="G18" s="4">
        <f>COUNTIFS('V13 - Configuration'!$F$2:$F$26,"Compliant",'V13 - Configuration'!$E$2:$E$26,2)</f>
        <v>2</v>
      </c>
      <c r="H18" s="5">
        <f t="shared" si="1"/>
        <v>0.16666666666666666</v>
      </c>
      <c r="I18" s="4">
        <v>8</v>
      </c>
      <c r="J18" s="4">
        <f>COUNTIFS('V13 - Configuration'!$F$2:$F$26,"Compliant",'V13 - Configuration'!$E$2:$E$26,3)</f>
        <v>0</v>
      </c>
      <c r="K18" s="5">
        <f t="shared" si="4"/>
        <v>0</v>
      </c>
      <c r="L18" s="4">
        <f>COUNTIF('V13 - Configuration'!$F$2:$F$26,"Compliant")</f>
        <v>2</v>
      </c>
      <c r="M18" s="5">
        <f t="shared" si="3"/>
        <v>9.5238095238095233E-2</v>
      </c>
    </row>
    <row r="19" spans="1:13" ht="18" customHeight="1" x14ac:dyDescent="0.3">
      <c r="A19" s="6" t="s">
        <v>40</v>
      </c>
      <c r="B19" s="7">
        <v>13</v>
      </c>
      <c r="C19" s="7">
        <v>2</v>
      </c>
      <c r="D19" s="7">
        <f>COUNTIFS('V14 - Data Protection'!$F$2:$F$17,"Compliant",'V14 - Data Protection'!$E$2:$E$17,1)</f>
        <v>1</v>
      </c>
      <c r="E19" s="8">
        <f t="shared" si="0"/>
        <v>0.5</v>
      </c>
      <c r="F19" s="7">
        <v>7</v>
      </c>
      <c r="G19" s="7">
        <f>COUNTIFS('V14 - Data Protection'!$F$2:$F$17,"Compliant",'V14 - Data Protection'!$E$2:$E$17,2)</f>
        <v>0</v>
      </c>
      <c r="H19" s="8">
        <f t="shared" si="1"/>
        <v>0</v>
      </c>
      <c r="I19" s="7">
        <v>4</v>
      </c>
      <c r="J19" s="7">
        <f>COUNTIFS('V14 - Data Protection'!$F$2:$F$17,"Compliant",'V14 - Data Protection'!$E$2:$E$17,3)</f>
        <v>0</v>
      </c>
      <c r="K19" s="8">
        <f t="shared" si="4"/>
        <v>0</v>
      </c>
      <c r="L19" s="7">
        <f>COUNTIF('V14 - Data Protection'!$F$2:$F$17,"Compliant")</f>
        <v>1</v>
      </c>
      <c r="M19" s="8">
        <f t="shared" si="3"/>
        <v>7.6923076923076927E-2</v>
      </c>
    </row>
    <row r="20" spans="1:13" ht="18" customHeight="1" x14ac:dyDescent="0.3">
      <c r="A20" s="3" t="s">
        <v>41</v>
      </c>
      <c r="B20" s="4">
        <v>21</v>
      </c>
      <c r="C20" s="4">
        <v>3</v>
      </c>
      <c r="D20" s="4">
        <f>COUNTIFS('V15 - Secure Coding and Archite'!$F$2:$F$26,"Compliant",'V15 - Secure Coding and Archite'!$E$2:$E$26,1)</f>
        <v>1</v>
      </c>
      <c r="E20" s="5">
        <f t="shared" si="0"/>
        <v>0.33333333333333331</v>
      </c>
      <c r="F20" s="4">
        <v>10</v>
      </c>
      <c r="G20" s="4">
        <f>COUNTIFS('V15 - Secure Coding and Archite'!$F$2:$F$26,"Compliant",'V15 - Secure Coding and Archite'!$E$2:$E$26,2)</f>
        <v>1</v>
      </c>
      <c r="H20" s="5">
        <f t="shared" si="1"/>
        <v>0.1</v>
      </c>
      <c r="I20" s="4">
        <v>8</v>
      </c>
      <c r="J20" s="4">
        <f>COUNTIFS('V15 - Secure Coding and Archite'!$F$2:$F$26,"Compliant",'V15 - Secure Coding and Archite'!$E$2:$E$26,3)</f>
        <v>0</v>
      </c>
      <c r="K20" s="5">
        <f t="shared" si="4"/>
        <v>0</v>
      </c>
      <c r="L20" s="4">
        <f>COUNTIF('V15 - Secure Coding and Archite'!$F$2:$F$26,"Compliant")</f>
        <v>2</v>
      </c>
      <c r="M20" s="5">
        <f t="shared" si="3"/>
        <v>9.5238095238095233E-2</v>
      </c>
    </row>
    <row r="21" spans="1:13" ht="18" customHeight="1" x14ac:dyDescent="0.3">
      <c r="A21" s="6" t="s">
        <v>42</v>
      </c>
      <c r="B21" s="7">
        <v>17</v>
      </c>
      <c r="C21" s="7">
        <v>0</v>
      </c>
      <c r="D21" s="7" t="s">
        <v>29</v>
      </c>
      <c r="E21" s="7" t="s">
        <v>29</v>
      </c>
      <c r="F21" s="7">
        <v>16</v>
      </c>
      <c r="G21" s="7">
        <f>COUNTIFS('V16 - Security Logging and Erro'!$F$2:$F$23,"Compliant",'V16 - Security Logging and Erro'!$E$2:$E$23,2)</f>
        <v>6</v>
      </c>
      <c r="H21" s="8">
        <f t="shared" si="1"/>
        <v>0.375</v>
      </c>
      <c r="I21" s="7">
        <v>1</v>
      </c>
      <c r="J21" s="7">
        <f>COUNTIFS('V16 - Security Logging and Erro'!$F$2:$F$23,"Compliant",'V16 - Security Logging and Erro'!$E$2:$E$23,3)</f>
        <v>1</v>
      </c>
      <c r="K21" s="8">
        <f t="shared" si="4"/>
        <v>1</v>
      </c>
      <c r="L21" s="7">
        <f>COUNTIF('V16 - Security Logging and Erro'!$F$2:$F$23,"Compliant")</f>
        <v>7</v>
      </c>
      <c r="M21" s="8">
        <f t="shared" si="3"/>
        <v>0.41176470588235292</v>
      </c>
    </row>
    <row r="22" spans="1:13" ht="18" customHeight="1" x14ac:dyDescent="0.3">
      <c r="A22" s="3" t="s">
        <v>43</v>
      </c>
      <c r="B22" s="4">
        <v>12</v>
      </c>
      <c r="C22" s="4">
        <v>0</v>
      </c>
      <c r="D22" s="4" t="s">
        <v>29</v>
      </c>
      <c r="E22" s="4" t="s">
        <v>29</v>
      </c>
      <c r="F22" s="4">
        <v>7</v>
      </c>
      <c r="G22" s="4">
        <f>COUNTIFS('V17 - WebRTC'!$F$2:$F$16,"Compliant",'V17 - WebRTC'!$E$2:$E$16,2)</f>
        <v>0</v>
      </c>
      <c r="H22" s="5">
        <f t="shared" si="1"/>
        <v>0</v>
      </c>
      <c r="I22" s="4">
        <v>5</v>
      </c>
      <c r="J22" s="4">
        <f>COUNTIFS('V17 - WebRTC'!$F$2:$F$16,"Compliant",'V17 - WebRTC'!$E$2:$E$16,3)</f>
        <v>0</v>
      </c>
      <c r="K22" s="5">
        <f t="shared" si="4"/>
        <v>0</v>
      </c>
      <c r="L22" s="4">
        <f>COUNTIF('V17 - WebRTC'!$F$2:$F$16,"Compliant")</f>
        <v>0</v>
      </c>
      <c r="M22" s="5">
        <f t="shared" si="3"/>
        <v>0</v>
      </c>
    </row>
    <row r="23" spans="1:13" ht="21.9" customHeight="1" x14ac:dyDescent="0.3">
      <c r="A23" s="9" t="s">
        <v>44</v>
      </c>
      <c r="B23" s="10">
        <f>SUM(B6:B22)</f>
        <v>345</v>
      </c>
      <c r="C23" s="10">
        <f>SUM(C6:C22)</f>
        <v>70</v>
      </c>
      <c r="D23" s="10">
        <f>SUM(D6:D22)</f>
        <v>33</v>
      </c>
      <c r="E23" s="11">
        <f>IFERROR(AVERAGE(E6:E22),"")</f>
        <v>0.49871794871794872</v>
      </c>
      <c r="F23" s="10">
        <f>SUM(F6:F22)</f>
        <v>183</v>
      </c>
      <c r="G23" s="10">
        <f>SUM(G6:G22)</f>
        <v>15</v>
      </c>
      <c r="H23" s="11">
        <f>IFERROR(AVERAGE(H6:H22),"")</f>
        <v>7.3104887888169615E-2</v>
      </c>
      <c r="I23" s="10">
        <f>SUM(I6:I22)</f>
        <v>92</v>
      </c>
      <c r="J23" s="10">
        <f>SUM(J6:J22)</f>
        <v>2</v>
      </c>
      <c r="K23" s="11">
        <f>IFERROR(AVERAGE(K6:K22),"")</f>
        <v>7.2916666666666671E-2</v>
      </c>
      <c r="L23" s="10">
        <f>SUM(L6:L22)</f>
        <v>50</v>
      </c>
      <c r="M23" s="11">
        <f>IFERROR(AVERAGE(M6:M22),"")</f>
        <v>0.18176151871052507</v>
      </c>
    </row>
  </sheetData>
  <mergeCells count="3">
    <mergeCell ref="A1:P1"/>
    <mergeCell ref="A3:B3"/>
    <mergeCell ref="A2:P2"/>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workbookViewId="0">
      <pane ySplit="1" topLeftCell="A2" activePane="bottomLeft" state="frozen"/>
      <selection pane="bottomLeft"/>
    </sheetView>
  </sheetViews>
  <sheetFormatPr defaultRowHeight="14.4" x14ac:dyDescent="0.3"/>
  <cols>
    <col min="1" max="1" width="24" customWidth="1"/>
    <col min="2" max="2" width="18" customWidth="1"/>
    <col min="3" max="3" width="55" customWidth="1"/>
    <col min="4" max="4" width="65" customWidth="1"/>
    <col min="5" max="5" width="45" customWidth="1"/>
  </cols>
  <sheetData>
    <row r="1" spans="1:5" x14ac:dyDescent="0.3">
      <c r="A1" s="15" t="s">
        <v>45</v>
      </c>
      <c r="B1" s="15" t="s">
        <v>46</v>
      </c>
      <c r="C1" s="15" t="s">
        <v>47</v>
      </c>
      <c r="D1" s="15" t="s">
        <v>48</v>
      </c>
      <c r="E1" s="15" t="s">
        <v>49</v>
      </c>
    </row>
    <row r="2" spans="1:5" ht="43.2" x14ac:dyDescent="0.3">
      <c r="A2" s="16" t="s">
        <v>50</v>
      </c>
      <c r="B2" s="17" t="s">
        <v>51</v>
      </c>
      <c r="C2" s="17" t="s">
        <v>52</v>
      </c>
      <c r="D2" s="17" t="s">
        <v>53</v>
      </c>
      <c r="E2" s="17" t="s">
        <v>54</v>
      </c>
    </row>
    <row r="3" spans="1:5" ht="43.2" x14ac:dyDescent="0.3">
      <c r="A3" s="16" t="s">
        <v>55</v>
      </c>
      <c r="B3" s="17" t="s">
        <v>56</v>
      </c>
      <c r="C3" s="17" t="s">
        <v>57</v>
      </c>
      <c r="D3" s="17" t="s">
        <v>58</v>
      </c>
      <c r="E3" s="17" t="s">
        <v>59</v>
      </c>
    </row>
    <row r="4" spans="1:5" ht="28.8" x14ac:dyDescent="0.3">
      <c r="A4" s="16" t="s">
        <v>60</v>
      </c>
      <c r="B4" s="17" t="s">
        <v>61</v>
      </c>
      <c r="C4" s="17" t="s">
        <v>62</v>
      </c>
      <c r="D4" s="17" t="s">
        <v>63</v>
      </c>
      <c r="E4" s="17" t="s">
        <v>64</v>
      </c>
    </row>
    <row r="5" spans="1:5" ht="28.8" x14ac:dyDescent="0.3">
      <c r="A5" s="16" t="s">
        <v>65</v>
      </c>
      <c r="B5" s="17" t="s">
        <v>66</v>
      </c>
      <c r="C5" s="17" t="s">
        <v>67</v>
      </c>
      <c r="D5" s="17" t="s">
        <v>68</v>
      </c>
      <c r="E5" s="17" t="s">
        <v>69</v>
      </c>
    </row>
    <row r="6" spans="1:5" ht="28.8" x14ac:dyDescent="0.3">
      <c r="A6" s="16" t="s">
        <v>70</v>
      </c>
      <c r="B6" s="17" t="s">
        <v>71</v>
      </c>
      <c r="C6" s="17" t="s">
        <v>72</v>
      </c>
      <c r="D6" s="17" t="s">
        <v>73</v>
      </c>
      <c r="E6" s="17" t="s">
        <v>74</v>
      </c>
    </row>
    <row r="7" spans="1:5" ht="28.8" x14ac:dyDescent="0.3">
      <c r="A7" s="16" t="s">
        <v>75</v>
      </c>
      <c r="B7" s="17" t="s">
        <v>76</v>
      </c>
      <c r="C7" s="17" t="s">
        <v>77</v>
      </c>
      <c r="D7" s="17" t="s">
        <v>78</v>
      </c>
      <c r="E7" s="17" t="s">
        <v>79</v>
      </c>
    </row>
    <row r="8" spans="1:5" ht="28.8" x14ac:dyDescent="0.3">
      <c r="A8" s="16" t="s">
        <v>80</v>
      </c>
      <c r="B8" s="17" t="s">
        <v>81</v>
      </c>
      <c r="C8" s="17" t="s">
        <v>82</v>
      </c>
      <c r="D8" s="17" t="s">
        <v>83</v>
      </c>
      <c r="E8" s="17" t="s">
        <v>84</v>
      </c>
    </row>
    <row r="9" spans="1:5" ht="28.8" x14ac:dyDescent="0.3">
      <c r="A9" s="16" t="s">
        <v>85</v>
      </c>
      <c r="B9" s="17" t="s">
        <v>86</v>
      </c>
      <c r="C9" s="17" t="s">
        <v>87</v>
      </c>
      <c r="D9" s="17" t="s">
        <v>88</v>
      </c>
      <c r="E9" s="17" t="s">
        <v>89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4"/>
  <sheetViews>
    <sheetView workbookViewId="0"/>
  </sheetViews>
  <sheetFormatPr defaultColWidth="8.88671875" defaultRowHeight="14.4" x14ac:dyDescent="0.3"/>
  <cols>
    <col min="1" max="1" width="140" customWidth="1"/>
  </cols>
  <sheetData>
    <row r="1" spans="1:1" ht="18.75" customHeight="1" x14ac:dyDescent="0.3">
      <c r="A1" s="18" t="s">
        <v>90</v>
      </c>
    </row>
    <row r="2" spans="1:1" x14ac:dyDescent="0.3">
      <c r="A2" s="13" t="s">
        <v>91</v>
      </c>
    </row>
    <row r="3" spans="1:1" x14ac:dyDescent="0.3">
      <c r="A3" s="13"/>
    </row>
    <row r="4" spans="1:1" x14ac:dyDescent="0.3">
      <c r="A4" s="18" t="s">
        <v>92</v>
      </c>
    </row>
    <row r="5" spans="1:1" ht="30" customHeight="1" x14ac:dyDescent="0.3">
      <c r="A5" s="13" t="s">
        <v>93</v>
      </c>
    </row>
    <row r="6" spans="1:1" x14ac:dyDescent="0.3">
      <c r="A6" s="13"/>
    </row>
    <row r="7" spans="1:1" x14ac:dyDescent="0.3">
      <c r="A7" s="18" t="s">
        <v>94</v>
      </c>
    </row>
    <row r="8" spans="1:1" x14ac:dyDescent="0.3">
      <c r="A8" s="13" t="s">
        <v>95</v>
      </c>
    </row>
    <row r="9" spans="1:1" x14ac:dyDescent="0.3">
      <c r="A9" s="13" t="s">
        <v>96</v>
      </c>
    </row>
    <row r="10" spans="1:1" ht="30" customHeight="1" x14ac:dyDescent="0.3">
      <c r="A10" s="13" t="s">
        <v>97</v>
      </c>
    </row>
    <row r="11" spans="1:1" x14ac:dyDescent="0.3">
      <c r="A11" s="13" t="s">
        <v>98</v>
      </c>
    </row>
    <row r="12" spans="1:1" x14ac:dyDescent="0.3">
      <c r="A12" s="13"/>
    </row>
    <row r="13" spans="1:1" x14ac:dyDescent="0.3">
      <c r="A13" s="18" t="s">
        <v>99</v>
      </c>
    </row>
    <row r="14" spans="1:1" ht="28.8" x14ac:dyDescent="0.3">
      <c r="A14" s="13" t="s">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6"/>
  <sheetViews>
    <sheetView topLeftCell="A21" zoomScale="80" zoomScaleNormal="80" workbookViewId="0">
      <pane ySplit="1" topLeftCell="A22" activePane="bottomLeft" state="frozen"/>
      <selection pane="bottomLeft" activeCell="H36" sqref="H36"/>
    </sheetView>
  </sheetViews>
  <sheetFormatPr defaultColWidth="8.44140625" defaultRowHeight="14.4" x14ac:dyDescent="0.3"/>
  <cols>
    <col min="1" max="1" width="12" customWidth="1"/>
    <col min="2" max="2" width="30" customWidth="1"/>
    <col min="3" max="3" width="12" customWidth="1"/>
    <col min="4" max="4" width="78" customWidth="1"/>
    <col min="5" max="5" width="8" customWidth="1"/>
    <col min="6" max="6" width="16" customWidth="1"/>
    <col min="7" max="7" width="70" customWidth="1"/>
    <col min="8" max="8" width="55" customWidth="1"/>
  </cols>
  <sheetData>
    <row r="1" spans="1:8" ht="27.9" customHeight="1" x14ac:dyDescent="0.3">
      <c r="A1" s="12" t="s">
        <v>101</v>
      </c>
      <c r="B1" s="12" t="s">
        <v>102</v>
      </c>
      <c r="C1" s="12" t="s">
        <v>103</v>
      </c>
      <c r="D1" s="12" t="s">
        <v>104</v>
      </c>
      <c r="E1" s="12" t="s">
        <v>105</v>
      </c>
      <c r="F1" s="12" t="s">
        <v>106</v>
      </c>
      <c r="G1" s="12" t="s">
        <v>107</v>
      </c>
      <c r="H1" s="12" t="s">
        <v>108</v>
      </c>
    </row>
    <row r="2" spans="1:8" ht="18" customHeight="1" x14ac:dyDescent="0.3">
      <c r="A2" s="19" t="s">
        <v>109</v>
      </c>
      <c r="B2" s="19" t="s">
        <v>110</v>
      </c>
      <c r="C2" s="19"/>
      <c r="D2" s="19"/>
      <c r="E2" s="19"/>
      <c r="F2" s="19"/>
      <c r="G2" s="19"/>
      <c r="H2" s="19"/>
    </row>
    <row r="3" spans="1:8" ht="75" customHeight="1" x14ac:dyDescent="0.3">
      <c r="A3" s="20" t="s">
        <v>109</v>
      </c>
      <c r="B3" s="20" t="s">
        <v>110</v>
      </c>
      <c r="C3" s="20" t="s">
        <v>111</v>
      </c>
      <c r="D3" s="20" t="s">
        <v>112</v>
      </c>
      <c r="E3" s="21">
        <v>2</v>
      </c>
      <c r="F3" s="22" t="s">
        <v>21</v>
      </c>
      <c r="G3" s="20" t="s">
        <v>113</v>
      </c>
      <c r="H3" s="20" t="s">
        <v>114</v>
      </c>
    </row>
    <row r="4" spans="1:8" ht="45" customHeight="1" x14ac:dyDescent="0.3">
      <c r="A4" s="23" t="s">
        <v>109</v>
      </c>
      <c r="B4" s="23" t="s">
        <v>110</v>
      </c>
      <c r="C4" s="23" t="s">
        <v>115</v>
      </c>
      <c r="D4" s="23" t="s">
        <v>116</v>
      </c>
      <c r="E4" s="21">
        <v>2</v>
      </c>
      <c r="F4" s="24" t="s">
        <v>23</v>
      </c>
      <c r="G4" s="23" t="s">
        <v>117</v>
      </c>
      <c r="H4" s="23" t="s">
        <v>118</v>
      </c>
    </row>
    <row r="5" spans="1:8" ht="18" customHeight="1" x14ac:dyDescent="0.3">
      <c r="A5" s="19" t="s">
        <v>119</v>
      </c>
      <c r="B5" s="19" t="s">
        <v>120</v>
      </c>
      <c r="C5" s="19"/>
      <c r="D5" s="19"/>
      <c r="E5" s="19"/>
      <c r="F5" s="19"/>
      <c r="G5" s="19"/>
      <c r="H5" s="19"/>
    </row>
    <row r="6" spans="1:8" ht="90" customHeight="1" x14ac:dyDescent="0.3">
      <c r="A6" s="20" t="s">
        <v>119</v>
      </c>
      <c r="B6" s="20" t="s">
        <v>120</v>
      </c>
      <c r="C6" s="20" t="s">
        <v>121</v>
      </c>
      <c r="D6" s="20" t="s">
        <v>122</v>
      </c>
      <c r="E6" s="25">
        <v>1</v>
      </c>
      <c r="F6" s="26" t="s">
        <v>25</v>
      </c>
      <c r="G6" s="20" t="s">
        <v>123</v>
      </c>
      <c r="H6" s="20" t="s">
        <v>124</v>
      </c>
    </row>
    <row r="7" spans="1:8" ht="60" customHeight="1" x14ac:dyDescent="0.3">
      <c r="A7" s="23" t="s">
        <v>119</v>
      </c>
      <c r="B7" s="23" t="s">
        <v>120</v>
      </c>
      <c r="C7" s="23" t="s">
        <v>125</v>
      </c>
      <c r="D7" s="23" t="s">
        <v>126</v>
      </c>
      <c r="E7" s="25">
        <v>1</v>
      </c>
      <c r="F7" s="26" t="s">
        <v>25</v>
      </c>
      <c r="G7" s="23" t="s">
        <v>123</v>
      </c>
      <c r="H7" s="23" t="s">
        <v>124</v>
      </c>
    </row>
    <row r="8" spans="1:8" ht="60" customHeight="1" x14ac:dyDescent="0.3">
      <c r="A8" s="20" t="s">
        <v>119</v>
      </c>
      <c r="B8" s="20" t="s">
        <v>120</v>
      </c>
      <c r="C8" s="20" t="s">
        <v>127</v>
      </c>
      <c r="D8" s="20" t="s">
        <v>128</v>
      </c>
      <c r="E8" s="25">
        <v>1</v>
      </c>
      <c r="F8" s="24" t="s">
        <v>23</v>
      </c>
      <c r="G8" s="20" t="s">
        <v>129</v>
      </c>
      <c r="H8" s="20" t="s">
        <v>130</v>
      </c>
    </row>
    <row r="9" spans="1:8" ht="75" customHeight="1" x14ac:dyDescent="0.3">
      <c r="A9" s="23" t="s">
        <v>119</v>
      </c>
      <c r="B9" s="23" t="s">
        <v>120</v>
      </c>
      <c r="C9" s="23" t="s">
        <v>131</v>
      </c>
      <c r="D9" s="23" t="s">
        <v>132</v>
      </c>
      <c r="E9" s="25">
        <v>1</v>
      </c>
      <c r="F9" s="22" t="s">
        <v>21</v>
      </c>
      <c r="G9" s="23" t="s">
        <v>133</v>
      </c>
      <c r="H9" s="23" t="s">
        <v>134</v>
      </c>
    </row>
    <row r="10" spans="1:8" ht="45" customHeight="1" x14ac:dyDescent="0.3">
      <c r="A10" s="20" t="s">
        <v>119</v>
      </c>
      <c r="B10" s="20" t="s">
        <v>120</v>
      </c>
      <c r="C10" s="20" t="s">
        <v>135</v>
      </c>
      <c r="D10" s="20" t="s">
        <v>136</v>
      </c>
      <c r="E10" s="25">
        <v>1</v>
      </c>
      <c r="F10" s="22" t="s">
        <v>21</v>
      </c>
      <c r="G10" s="20" t="s">
        <v>137</v>
      </c>
      <c r="H10" s="20" t="s">
        <v>138</v>
      </c>
    </row>
    <row r="11" spans="1:8" ht="45" customHeight="1" x14ac:dyDescent="0.3">
      <c r="A11" s="23" t="s">
        <v>119</v>
      </c>
      <c r="B11" s="23" t="s">
        <v>120</v>
      </c>
      <c r="C11" s="23" t="s">
        <v>139</v>
      </c>
      <c r="D11" s="23" t="s">
        <v>140</v>
      </c>
      <c r="E11" s="21">
        <v>2</v>
      </c>
      <c r="F11" s="26" t="s">
        <v>25</v>
      </c>
      <c r="G11" s="23" t="s">
        <v>123</v>
      </c>
      <c r="H11" s="23" t="s">
        <v>124</v>
      </c>
    </row>
    <row r="12" spans="1:8" ht="30" customHeight="1" x14ac:dyDescent="0.3">
      <c r="A12" s="20" t="s">
        <v>119</v>
      </c>
      <c r="B12" s="20" t="s">
        <v>120</v>
      </c>
      <c r="C12" s="20" t="s">
        <v>141</v>
      </c>
      <c r="D12" s="20" t="s">
        <v>142</v>
      </c>
      <c r="E12" s="21">
        <v>2</v>
      </c>
      <c r="F12" s="26" t="s">
        <v>25</v>
      </c>
      <c r="G12" s="20" t="s">
        <v>123</v>
      </c>
      <c r="H12" s="20" t="s">
        <v>124</v>
      </c>
    </row>
    <row r="13" spans="1:8" ht="45" customHeight="1" x14ac:dyDescent="0.3">
      <c r="A13" s="23" t="s">
        <v>119</v>
      </c>
      <c r="B13" s="23" t="s">
        <v>120</v>
      </c>
      <c r="C13" s="23" t="s">
        <v>143</v>
      </c>
      <c r="D13" s="23" t="s">
        <v>144</v>
      </c>
      <c r="E13" s="21">
        <v>2</v>
      </c>
      <c r="F13" s="26" t="s">
        <v>25</v>
      </c>
      <c r="G13" s="23" t="s">
        <v>123</v>
      </c>
      <c r="H13" s="23" t="s">
        <v>124</v>
      </c>
    </row>
    <row r="14" spans="1:8" ht="45" customHeight="1" x14ac:dyDescent="0.3">
      <c r="A14" s="20" t="s">
        <v>119</v>
      </c>
      <c r="B14" s="20" t="s">
        <v>120</v>
      </c>
      <c r="C14" s="20" t="s">
        <v>145</v>
      </c>
      <c r="D14" s="20" t="s">
        <v>146</v>
      </c>
      <c r="E14" s="21">
        <v>2</v>
      </c>
      <c r="F14" s="24" t="s">
        <v>23</v>
      </c>
      <c r="G14" s="20" t="s">
        <v>147</v>
      </c>
      <c r="H14" s="20" t="s">
        <v>118</v>
      </c>
    </row>
    <row r="15" spans="1:8" ht="120" customHeight="1" x14ac:dyDescent="0.3">
      <c r="A15" s="23" t="s">
        <v>119</v>
      </c>
      <c r="B15" s="23" t="s">
        <v>120</v>
      </c>
      <c r="C15" s="23" t="s">
        <v>148</v>
      </c>
      <c r="D15" s="23" t="s">
        <v>149</v>
      </c>
      <c r="E15" s="27">
        <v>3</v>
      </c>
      <c r="F15" s="28" t="s">
        <v>27</v>
      </c>
      <c r="G15" s="23" t="s">
        <v>150</v>
      </c>
      <c r="H15" s="23" t="s">
        <v>151</v>
      </c>
    </row>
    <row r="16" spans="1:8" ht="18" customHeight="1" x14ac:dyDescent="0.3">
      <c r="A16" s="19" t="s">
        <v>152</v>
      </c>
      <c r="B16" s="19" t="s">
        <v>153</v>
      </c>
      <c r="C16" s="19"/>
      <c r="D16" s="19"/>
      <c r="E16" s="19"/>
      <c r="F16" s="19"/>
      <c r="G16" s="19"/>
      <c r="H16" s="19"/>
    </row>
    <row r="17" spans="1:8" ht="45" customHeight="1" x14ac:dyDescent="0.3">
      <c r="A17" s="20" t="s">
        <v>152</v>
      </c>
      <c r="B17" s="20" t="s">
        <v>153</v>
      </c>
      <c r="C17" s="20" t="s">
        <v>154</v>
      </c>
      <c r="D17" s="20" t="s">
        <v>155</v>
      </c>
      <c r="E17" s="25">
        <v>1</v>
      </c>
      <c r="F17" s="26" t="s">
        <v>25</v>
      </c>
      <c r="G17" s="20" t="s">
        <v>123</v>
      </c>
      <c r="H17" s="20" t="s">
        <v>124</v>
      </c>
    </row>
    <row r="18" spans="1:8" ht="60" customHeight="1" x14ac:dyDescent="0.3">
      <c r="A18" s="23" t="s">
        <v>152</v>
      </c>
      <c r="B18" s="23" t="s">
        <v>153</v>
      </c>
      <c r="C18" s="23" t="s">
        <v>156</v>
      </c>
      <c r="D18" s="23" t="s">
        <v>157</v>
      </c>
      <c r="E18" s="25">
        <v>1</v>
      </c>
      <c r="F18" s="22" t="s">
        <v>21</v>
      </c>
      <c r="G18" s="23" t="s">
        <v>158</v>
      </c>
      <c r="H18" s="23" t="s">
        <v>159</v>
      </c>
    </row>
    <row r="19" spans="1:8" ht="60" customHeight="1" x14ac:dyDescent="0.3">
      <c r="A19" s="20" t="s">
        <v>152</v>
      </c>
      <c r="B19" s="20" t="s">
        <v>153</v>
      </c>
      <c r="C19" s="20" t="s">
        <v>160</v>
      </c>
      <c r="D19" s="20" t="s">
        <v>161</v>
      </c>
      <c r="E19" s="21">
        <v>2</v>
      </c>
      <c r="F19" s="24" t="s">
        <v>23</v>
      </c>
      <c r="G19" s="20" t="s">
        <v>162</v>
      </c>
      <c r="H19" s="20" t="s">
        <v>118</v>
      </c>
    </row>
    <row r="20" spans="1:8" ht="30" customHeight="1" x14ac:dyDescent="0.3">
      <c r="A20" s="23" t="s">
        <v>152</v>
      </c>
      <c r="B20" s="23" t="s">
        <v>153</v>
      </c>
      <c r="C20" s="23" t="s">
        <v>163</v>
      </c>
      <c r="D20" s="23" t="s">
        <v>164</v>
      </c>
      <c r="E20" s="21">
        <v>2</v>
      </c>
      <c r="F20" s="26" t="s">
        <v>25</v>
      </c>
      <c r="G20" s="23" t="s">
        <v>123</v>
      </c>
      <c r="H20" s="23" t="s">
        <v>124</v>
      </c>
    </row>
    <row r="21" spans="1:8" ht="30" customHeight="1" x14ac:dyDescent="0.3">
      <c r="A21" s="20" t="s">
        <v>152</v>
      </c>
      <c r="B21" s="20" t="s">
        <v>153</v>
      </c>
      <c r="C21" s="20" t="s">
        <v>165</v>
      </c>
      <c r="D21" s="20" t="s">
        <v>166</v>
      </c>
      <c r="E21" s="21">
        <v>2</v>
      </c>
      <c r="F21" s="26" t="s">
        <v>25</v>
      </c>
      <c r="G21" s="20" t="s">
        <v>123</v>
      </c>
      <c r="H21" s="20" t="s">
        <v>124</v>
      </c>
    </row>
    <row r="22" spans="1:8" ht="75" customHeight="1" x14ac:dyDescent="0.3">
      <c r="A22" s="23" t="s">
        <v>152</v>
      </c>
      <c r="B22" s="23" t="s">
        <v>153</v>
      </c>
      <c r="C22" s="23" t="s">
        <v>167</v>
      </c>
      <c r="D22" s="23" t="s">
        <v>168</v>
      </c>
      <c r="E22" s="21">
        <v>2</v>
      </c>
      <c r="F22" s="24" t="s">
        <v>23</v>
      </c>
      <c r="G22" s="23" t="s">
        <v>169</v>
      </c>
      <c r="H22" s="23" t="s">
        <v>118</v>
      </c>
    </row>
    <row r="23" spans="1:8" ht="75" customHeight="1" x14ac:dyDescent="0.3">
      <c r="A23" s="20" t="s">
        <v>152</v>
      </c>
      <c r="B23" s="20" t="s">
        <v>153</v>
      </c>
      <c r="C23" s="20" t="s">
        <v>170</v>
      </c>
      <c r="D23" s="20" t="s">
        <v>171</v>
      </c>
      <c r="E23" s="21">
        <v>2</v>
      </c>
      <c r="F23" s="24" t="s">
        <v>23</v>
      </c>
      <c r="G23" s="20" t="s">
        <v>172</v>
      </c>
      <c r="H23" s="20" t="s">
        <v>118</v>
      </c>
    </row>
    <row r="24" spans="1:8" ht="60" customHeight="1" x14ac:dyDescent="0.3">
      <c r="A24" s="23" t="s">
        <v>152</v>
      </c>
      <c r="B24" s="23" t="s">
        <v>153</v>
      </c>
      <c r="C24" s="23" t="s">
        <v>173</v>
      </c>
      <c r="D24" s="23" t="s">
        <v>174</v>
      </c>
      <c r="E24" s="21">
        <v>2</v>
      </c>
      <c r="F24" s="26" t="s">
        <v>25</v>
      </c>
      <c r="G24" s="23" t="s">
        <v>123</v>
      </c>
      <c r="H24" s="23" t="s">
        <v>124</v>
      </c>
    </row>
    <row r="25" spans="1:8" ht="30" customHeight="1" x14ac:dyDescent="0.3">
      <c r="A25" s="20" t="s">
        <v>152</v>
      </c>
      <c r="B25" s="20" t="s">
        <v>153</v>
      </c>
      <c r="C25" s="20" t="s">
        <v>175</v>
      </c>
      <c r="D25" s="20" t="s">
        <v>176</v>
      </c>
      <c r="E25" s="21">
        <v>2</v>
      </c>
      <c r="F25" s="26" t="s">
        <v>25</v>
      </c>
      <c r="G25" s="20" t="s">
        <v>123</v>
      </c>
      <c r="H25" s="20" t="s">
        <v>124</v>
      </c>
    </row>
    <row r="26" spans="1:8" ht="45" customHeight="1" x14ac:dyDescent="0.3">
      <c r="A26" s="23" t="s">
        <v>152</v>
      </c>
      <c r="B26" s="23" t="s">
        <v>153</v>
      </c>
      <c r="C26" s="23" t="s">
        <v>177</v>
      </c>
      <c r="D26" s="23" t="s">
        <v>178</v>
      </c>
      <c r="E26" s="21">
        <v>2</v>
      </c>
      <c r="F26" s="24" t="s">
        <v>23</v>
      </c>
      <c r="G26" s="23" t="s">
        <v>179</v>
      </c>
      <c r="H26" s="23" t="s">
        <v>118</v>
      </c>
    </row>
    <row r="27" spans="1:8" ht="30" customHeight="1" x14ac:dyDescent="0.3">
      <c r="A27" s="20" t="s">
        <v>152</v>
      </c>
      <c r="B27" s="20" t="s">
        <v>153</v>
      </c>
      <c r="C27" s="20" t="s">
        <v>180</v>
      </c>
      <c r="D27" s="20" t="s">
        <v>181</v>
      </c>
      <c r="E27" s="21">
        <v>2</v>
      </c>
      <c r="F27" s="26" t="s">
        <v>25</v>
      </c>
      <c r="G27" s="20" t="s">
        <v>123</v>
      </c>
      <c r="H27" s="20" t="s">
        <v>124</v>
      </c>
    </row>
    <row r="28" spans="1:8" ht="60" customHeight="1" x14ac:dyDescent="0.3">
      <c r="A28" s="23" t="s">
        <v>152</v>
      </c>
      <c r="B28" s="23" t="s">
        <v>153</v>
      </c>
      <c r="C28" s="23" t="s">
        <v>182</v>
      </c>
      <c r="D28" s="23" t="s">
        <v>183</v>
      </c>
      <c r="E28" s="27">
        <v>3</v>
      </c>
      <c r="F28" s="24" t="s">
        <v>23</v>
      </c>
      <c r="G28" s="23" t="s">
        <v>184</v>
      </c>
      <c r="H28" s="23" t="s">
        <v>118</v>
      </c>
    </row>
    <row r="29" spans="1:8" ht="18" customHeight="1" x14ac:dyDescent="0.3">
      <c r="A29" s="19" t="s">
        <v>185</v>
      </c>
      <c r="B29" s="19" t="s">
        <v>186</v>
      </c>
      <c r="C29" s="19"/>
      <c r="D29" s="19"/>
      <c r="E29" s="19"/>
      <c r="F29" s="19"/>
      <c r="G29" s="19"/>
      <c r="H29" s="19"/>
    </row>
    <row r="30" spans="1:8" ht="30" customHeight="1" x14ac:dyDescent="0.3">
      <c r="A30" s="20" t="s">
        <v>185</v>
      </c>
      <c r="B30" s="20" t="s">
        <v>186</v>
      </c>
      <c r="C30" s="20" t="s">
        <v>187</v>
      </c>
      <c r="D30" s="20" t="s">
        <v>188</v>
      </c>
      <c r="E30" s="21">
        <v>2</v>
      </c>
      <c r="F30" s="26" t="s">
        <v>25</v>
      </c>
      <c r="G30" s="20" t="s">
        <v>123</v>
      </c>
      <c r="H30" s="20" t="s">
        <v>124</v>
      </c>
    </row>
    <row r="31" spans="1:8" ht="30" customHeight="1" x14ac:dyDescent="0.3">
      <c r="A31" s="23" t="s">
        <v>185</v>
      </c>
      <c r="B31" s="23" t="s">
        <v>186</v>
      </c>
      <c r="C31" s="23" t="s">
        <v>189</v>
      </c>
      <c r="D31" s="23" t="s">
        <v>190</v>
      </c>
      <c r="E31" s="21">
        <v>2</v>
      </c>
      <c r="F31" s="26" t="s">
        <v>25</v>
      </c>
      <c r="G31" s="23" t="s">
        <v>123</v>
      </c>
      <c r="H31" s="23" t="s">
        <v>124</v>
      </c>
    </row>
    <row r="32" spans="1:8" ht="30" customHeight="1" x14ac:dyDescent="0.3">
      <c r="A32" s="20" t="s">
        <v>185</v>
      </c>
      <c r="B32" s="20" t="s">
        <v>186</v>
      </c>
      <c r="C32" s="20" t="s">
        <v>191</v>
      </c>
      <c r="D32" s="20" t="s">
        <v>192</v>
      </c>
      <c r="E32" s="21">
        <v>2</v>
      </c>
      <c r="F32" s="26" t="s">
        <v>25</v>
      </c>
      <c r="G32" s="20" t="s">
        <v>123</v>
      </c>
      <c r="H32" s="20" t="s">
        <v>124</v>
      </c>
    </row>
    <row r="33" spans="1:8" ht="18" customHeight="1" x14ac:dyDescent="0.3">
      <c r="A33" s="19" t="s">
        <v>193</v>
      </c>
      <c r="B33" s="19" t="s">
        <v>194</v>
      </c>
      <c r="C33" s="19"/>
      <c r="D33" s="19"/>
      <c r="E33" s="19"/>
      <c r="F33" s="19"/>
      <c r="G33" s="19"/>
      <c r="H33" s="19"/>
    </row>
    <row r="34" spans="1:8" ht="60" customHeight="1" x14ac:dyDescent="0.3">
      <c r="A34" s="20" t="s">
        <v>193</v>
      </c>
      <c r="B34" s="20" t="s">
        <v>194</v>
      </c>
      <c r="C34" s="20" t="s">
        <v>195</v>
      </c>
      <c r="D34" s="20" t="s">
        <v>196</v>
      </c>
      <c r="E34" s="25">
        <v>1</v>
      </c>
      <c r="F34" s="26" t="s">
        <v>25</v>
      </c>
      <c r="G34" s="20" t="s">
        <v>197</v>
      </c>
      <c r="H34" s="20" t="s">
        <v>198</v>
      </c>
    </row>
    <row r="35" spans="1:8" ht="75" customHeight="1" x14ac:dyDescent="0.3">
      <c r="A35" s="23" t="s">
        <v>193</v>
      </c>
      <c r="B35" s="23" t="s">
        <v>194</v>
      </c>
      <c r="C35" s="23" t="s">
        <v>199</v>
      </c>
      <c r="D35" s="23" t="s">
        <v>200</v>
      </c>
      <c r="E35" s="21">
        <v>2</v>
      </c>
      <c r="F35" s="28" t="s">
        <v>27</v>
      </c>
      <c r="G35" s="23" t="s">
        <v>201</v>
      </c>
      <c r="H35" s="23" t="s">
        <v>118</v>
      </c>
    </row>
    <row r="36" spans="1:8" ht="105" customHeight="1" x14ac:dyDescent="0.3">
      <c r="A36" s="20" t="s">
        <v>193</v>
      </c>
      <c r="B36" s="20" t="s">
        <v>194</v>
      </c>
      <c r="C36" s="20" t="s">
        <v>202</v>
      </c>
      <c r="D36" s="20" t="s">
        <v>203</v>
      </c>
      <c r="E36" s="27">
        <v>3</v>
      </c>
      <c r="F36" s="28" t="s">
        <v>27</v>
      </c>
      <c r="G36" s="20" t="s">
        <v>201</v>
      </c>
      <c r="H36" s="20" t="s">
        <v>118</v>
      </c>
    </row>
  </sheetData>
  <conditionalFormatting sqref="F2:F3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6" xr:uid="{00000000-0002-0000-0300-000000000000}">
      <formula1>"Not Started,In Progress,Compliant,Not Applicable"</formula1>
      <formula2>0</formula2>
    </dataValidation>
  </dataValidation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8"/>
  <sheetViews>
    <sheetView topLeftCell="A8" zoomScale="80" zoomScaleNormal="80" workbookViewId="0">
      <pane ySplit="1" topLeftCell="A9" activePane="bottomLeft" state="frozen"/>
      <selection pane="bottomLeft" activeCell="F17" sqref="F17"/>
    </sheetView>
  </sheetViews>
  <sheetFormatPr defaultColWidth="8.44140625" defaultRowHeight="14.4" x14ac:dyDescent="0.3"/>
  <cols>
    <col min="1" max="1" width="12" customWidth="1"/>
    <col min="2" max="2" width="30" customWidth="1"/>
    <col min="3" max="3" width="12" customWidth="1"/>
    <col min="4" max="4" width="78" customWidth="1"/>
    <col min="5" max="5" width="8" customWidth="1"/>
    <col min="6" max="6" width="16" customWidth="1"/>
    <col min="7" max="7" width="70" customWidth="1"/>
    <col min="8" max="8" width="55" customWidth="1"/>
  </cols>
  <sheetData>
    <row r="1" spans="1:8" ht="27.9" customHeight="1" x14ac:dyDescent="0.3">
      <c r="A1" s="12" t="s">
        <v>101</v>
      </c>
      <c r="B1" s="12" t="s">
        <v>102</v>
      </c>
      <c r="C1" s="12" t="s">
        <v>103</v>
      </c>
      <c r="D1" s="12" t="s">
        <v>104</v>
      </c>
      <c r="E1" s="12" t="s">
        <v>105</v>
      </c>
      <c r="F1" s="12" t="s">
        <v>106</v>
      </c>
      <c r="G1" s="12" t="s">
        <v>107</v>
      </c>
      <c r="H1" s="12" t="s">
        <v>108</v>
      </c>
    </row>
    <row r="2" spans="1:8" ht="18" customHeight="1" x14ac:dyDescent="0.3">
      <c r="A2" s="19" t="s">
        <v>204</v>
      </c>
      <c r="B2" s="19" t="s">
        <v>205</v>
      </c>
      <c r="C2" s="19"/>
      <c r="D2" s="19"/>
      <c r="E2" s="19"/>
      <c r="F2" s="19"/>
      <c r="G2" s="19"/>
      <c r="H2" s="19"/>
    </row>
    <row r="3" spans="1:8" ht="75" customHeight="1" x14ac:dyDescent="0.3">
      <c r="A3" s="20" t="s">
        <v>204</v>
      </c>
      <c r="B3" s="20" t="s">
        <v>205</v>
      </c>
      <c r="C3" s="20" t="s">
        <v>206</v>
      </c>
      <c r="D3" s="20" t="s">
        <v>207</v>
      </c>
      <c r="E3" s="25">
        <v>1</v>
      </c>
      <c r="F3" s="22" t="s">
        <v>21</v>
      </c>
      <c r="G3" s="20" t="s">
        <v>208</v>
      </c>
      <c r="H3" s="20" t="s">
        <v>209</v>
      </c>
    </row>
    <row r="4" spans="1:8" ht="60" customHeight="1" x14ac:dyDescent="0.3">
      <c r="A4" s="23" t="s">
        <v>204</v>
      </c>
      <c r="B4" s="23" t="s">
        <v>205</v>
      </c>
      <c r="C4" s="23" t="s">
        <v>210</v>
      </c>
      <c r="D4" s="23" t="s">
        <v>211</v>
      </c>
      <c r="E4" s="21">
        <v>2</v>
      </c>
      <c r="F4" s="24" t="s">
        <v>23</v>
      </c>
      <c r="G4" s="23" t="s">
        <v>212</v>
      </c>
      <c r="H4" s="23" t="s">
        <v>213</v>
      </c>
    </row>
    <row r="5" spans="1:8" ht="60" customHeight="1" x14ac:dyDescent="0.3">
      <c r="A5" s="20" t="s">
        <v>204</v>
      </c>
      <c r="B5" s="20" t="s">
        <v>205</v>
      </c>
      <c r="C5" s="20" t="s">
        <v>214</v>
      </c>
      <c r="D5" s="20" t="s">
        <v>215</v>
      </c>
      <c r="E5" s="21">
        <v>2</v>
      </c>
      <c r="F5" s="24" t="s">
        <v>23</v>
      </c>
      <c r="G5" s="20" t="s">
        <v>216</v>
      </c>
      <c r="H5" s="20" t="s">
        <v>217</v>
      </c>
    </row>
    <row r="6" spans="1:8" ht="18" customHeight="1" x14ac:dyDescent="0.3">
      <c r="A6" s="19" t="s">
        <v>218</v>
      </c>
      <c r="B6" s="19" t="s">
        <v>219</v>
      </c>
      <c r="C6" s="19"/>
      <c r="D6" s="19"/>
      <c r="E6" s="19"/>
      <c r="F6" s="19"/>
      <c r="G6" s="19"/>
      <c r="H6" s="19"/>
    </row>
    <row r="7" spans="1:8" ht="105" customHeight="1" x14ac:dyDescent="0.3">
      <c r="A7" s="20" t="s">
        <v>218</v>
      </c>
      <c r="B7" s="20" t="s">
        <v>219</v>
      </c>
      <c r="C7" s="20" t="s">
        <v>220</v>
      </c>
      <c r="D7" s="20" t="s">
        <v>221</v>
      </c>
      <c r="E7" s="25">
        <v>1</v>
      </c>
      <c r="F7" s="22" t="s">
        <v>21</v>
      </c>
      <c r="G7" s="20" t="s">
        <v>222</v>
      </c>
      <c r="H7" s="20" t="s">
        <v>223</v>
      </c>
    </row>
    <row r="8" spans="1:8" ht="60" customHeight="1" x14ac:dyDescent="0.3">
      <c r="A8" s="23" t="s">
        <v>218</v>
      </c>
      <c r="B8" s="23" t="s">
        <v>219</v>
      </c>
      <c r="C8" s="23" t="s">
        <v>224</v>
      </c>
      <c r="D8" s="23" t="s">
        <v>225</v>
      </c>
      <c r="E8" s="25">
        <v>1</v>
      </c>
      <c r="F8" s="22" t="s">
        <v>21</v>
      </c>
      <c r="G8" s="23" t="s">
        <v>226</v>
      </c>
      <c r="H8" s="23" t="s">
        <v>227</v>
      </c>
    </row>
    <row r="9" spans="1:8" ht="45" customHeight="1" x14ac:dyDescent="0.3">
      <c r="A9" s="20" t="s">
        <v>218</v>
      </c>
      <c r="B9" s="20" t="s">
        <v>219</v>
      </c>
      <c r="C9" s="20" t="s">
        <v>228</v>
      </c>
      <c r="D9" s="20" t="s">
        <v>229</v>
      </c>
      <c r="E9" s="21">
        <v>2</v>
      </c>
      <c r="F9" s="24" t="s">
        <v>23</v>
      </c>
      <c r="G9" s="20" t="s">
        <v>230</v>
      </c>
      <c r="H9" s="20" t="s">
        <v>231</v>
      </c>
    </row>
    <row r="10" spans="1:8" ht="18" customHeight="1" x14ac:dyDescent="0.3">
      <c r="A10" s="19" t="s">
        <v>232</v>
      </c>
      <c r="B10" s="19" t="s">
        <v>233</v>
      </c>
      <c r="C10" s="19"/>
      <c r="D10" s="19"/>
      <c r="E10" s="19"/>
      <c r="F10" s="19"/>
      <c r="G10" s="19"/>
      <c r="H10" s="19"/>
    </row>
    <row r="11" spans="1:8" ht="45" customHeight="1" x14ac:dyDescent="0.3">
      <c r="A11" s="20" t="s">
        <v>232</v>
      </c>
      <c r="B11" s="20" t="s">
        <v>233</v>
      </c>
      <c r="C11" s="20" t="s">
        <v>234</v>
      </c>
      <c r="D11" s="20" t="s">
        <v>235</v>
      </c>
      <c r="E11" s="25">
        <v>1</v>
      </c>
      <c r="F11" s="22" t="s">
        <v>21</v>
      </c>
      <c r="G11" s="20" t="s">
        <v>236</v>
      </c>
      <c r="H11" s="20" t="s">
        <v>237</v>
      </c>
    </row>
    <row r="12" spans="1:8" ht="45" customHeight="1" x14ac:dyDescent="0.3">
      <c r="A12" s="23" t="s">
        <v>232</v>
      </c>
      <c r="B12" s="23" t="s">
        <v>233</v>
      </c>
      <c r="C12" s="23" t="s">
        <v>238</v>
      </c>
      <c r="D12" s="23" t="s">
        <v>239</v>
      </c>
      <c r="E12" s="21">
        <v>2</v>
      </c>
      <c r="F12" s="24" t="s">
        <v>23</v>
      </c>
      <c r="G12" s="23" t="s">
        <v>240</v>
      </c>
      <c r="H12" s="23" t="s">
        <v>241</v>
      </c>
    </row>
    <row r="13" spans="1:8" ht="45" customHeight="1" x14ac:dyDescent="0.3">
      <c r="A13" s="20" t="s">
        <v>232</v>
      </c>
      <c r="B13" s="20" t="s">
        <v>233</v>
      </c>
      <c r="C13" s="20" t="s">
        <v>242</v>
      </c>
      <c r="D13" s="20" t="s">
        <v>243</v>
      </c>
      <c r="E13" s="21">
        <v>2</v>
      </c>
      <c r="F13" s="28" t="s">
        <v>27</v>
      </c>
      <c r="G13" s="20" t="s">
        <v>244</v>
      </c>
      <c r="H13" s="20" t="s">
        <v>245</v>
      </c>
    </row>
    <row r="14" spans="1:8" ht="60" customHeight="1" x14ac:dyDescent="0.3">
      <c r="A14" s="23" t="s">
        <v>232</v>
      </c>
      <c r="B14" s="23" t="s">
        <v>233</v>
      </c>
      <c r="C14" s="23" t="s">
        <v>246</v>
      </c>
      <c r="D14" s="23" t="s">
        <v>247</v>
      </c>
      <c r="E14" s="21">
        <v>2</v>
      </c>
      <c r="F14" s="26" t="s">
        <v>25</v>
      </c>
      <c r="G14" s="23" t="s">
        <v>123</v>
      </c>
      <c r="H14" s="23" t="s">
        <v>124</v>
      </c>
    </row>
    <row r="15" spans="1:8" ht="75" customHeight="1" x14ac:dyDescent="0.3">
      <c r="A15" s="20" t="s">
        <v>232</v>
      </c>
      <c r="B15" s="20" t="s">
        <v>233</v>
      </c>
      <c r="C15" s="20" t="s">
        <v>248</v>
      </c>
      <c r="D15" s="20" t="s">
        <v>249</v>
      </c>
      <c r="E15" s="27">
        <v>3</v>
      </c>
      <c r="F15" s="26" t="s">
        <v>25</v>
      </c>
      <c r="G15" s="20" t="s">
        <v>123</v>
      </c>
      <c r="H15" s="20" t="s">
        <v>124</v>
      </c>
    </row>
    <row r="16" spans="1:8" ht="18" customHeight="1" x14ac:dyDescent="0.3">
      <c r="A16" s="19" t="s">
        <v>250</v>
      </c>
      <c r="B16" s="19" t="s">
        <v>251</v>
      </c>
      <c r="C16" s="19"/>
      <c r="D16" s="19"/>
      <c r="E16" s="19"/>
      <c r="F16" s="19"/>
      <c r="G16" s="19"/>
      <c r="H16" s="19"/>
    </row>
    <row r="17" spans="1:8" ht="60" customHeight="1" x14ac:dyDescent="0.3">
      <c r="A17" s="20" t="s">
        <v>250</v>
      </c>
      <c r="B17" s="20" t="s">
        <v>251</v>
      </c>
      <c r="C17" s="20" t="s">
        <v>252</v>
      </c>
      <c r="D17" s="20" t="s">
        <v>253</v>
      </c>
      <c r="E17" s="21">
        <v>2</v>
      </c>
      <c r="F17" s="24" t="s">
        <v>23</v>
      </c>
      <c r="G17" s="20" t="s">
        <v>254</v>
      </c>
      <c r="H17" s="20" t="s">
        <v>241</v>
      </c>
    </row>
    <row r="18" spans="1:8" ht="45" customHeight="1" x14ac:dyDescent="0.3">
      <c r="A18" s="23" t="s">
        <v>250</v>
      </c>
      <c r="B18" s="23" t="s">
        <v>251</v>
      </c>
      <c r="C18" s="23" t="s">
        <v>255</v>
      </c>
      <c r="D18" s="23" t="s">
        <v>256</v>
      </c>
      <c r="E18" s="27">
        <v>3</v>
      </c>
      <c r="F18" s="28" t="s">
        <v>27</v>
      </c>
      <c r="G18" s="23" t="s">
        <v>257</v>
      </c>
      <c r="H18" s="23" t="s">
        <v>241</v>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400-000000000000}">
      <formula1>"Not Started,In Progress,Compliant,Not Applicable"</formula1>
      <formula2>0</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9"/>
  <sheetViews>
    <sheetView tabSelected="1" topLeftCell="C1" zoomScale="80" zoomScaleNormal="80" workbookViewId="0">
      <pane ySplit="1" topLeftCell="A2" activePane="bottomLeft" state="frozen"/>
      <selection pane="bottomLeft" activeCell="H46" sqref="H46"/>
    </sheetView>
  </sheetViews>
  <sheetFormatPr defaultColWidth="8.44140625" defaultRowHeight="14.4" x14ac:dyDescent="0.3"/>
  <cols>
    <col min="1" max="1" width="12" customWidth="1"/>
    <col min="2" max="2" width="30" customWidth="1"/>
    <col min="3" max="3" width="12" customWidth="1"/>
    <col min="4" max="4" width="78" customWidth="1"/>
    <col min="5" max="5" width="8" customWidth="1"/>
    <col min="6" max="6" width="16" customWidth="1"/>
    <col min="7" max="7" width="70" customWidth="1"/>
    <col min="8" max="8" width="55" customWidth="1"/>
  </cols>
  <sheetData>
    <row r="1" spans="1:8" ht="27.9" customHeight="1" x14ac:dyDescent="0.3">
      <c r="A1" s="12" t="s">
        <v>101</v>
      </c>
      <c r="B1" s="12" t="s">
        <v>102</v>
      </c>
      <c r="C1" s="12" t="s">
        <v>103</v>
      </c>
      <c r="D1" s="12" t="s">
        <v>104</v>
      </c>
      <c r="E1" s="12" t="s">
        <v>105</v>
      </c>
      <c r="F1" s="12" t="s">
        <v>106</v>
      </c>
      <c r="G1" s="12" t="s">
        <v>107</v>
      </c>
      <c r="H1" s="12" t="s">
        <v>108</v>
      </c>
    </row>
    <row r="2" spans="1:8" ht="18" customHeight="1" x14ac:dyDescent="0.3">
      <c r="A2" s="19" t="s">
        <v>258</v>
      </c>
      <c r="B2" s="19" t="s">
        <v>259</v>
      </c>
      <c r="C2" s="19"/>
      <c r="D2" s="19"/>
      <c r="E2" s="19"/>
      <c r="F2" s="19"/>
      <c r="G2" s="19"/>
      <c r="H2" s="19"/>
    </row>
    <row r="3" spans="1:8" ht="105" customHeight="1" x14ac:dyDescent="0.3">
      <c r="A3" s="20" t="s">
        <v>258</v>
      </c>
      <c r="B3" s="20" t="s">
        <v>259</v>
      </c>
      <c r="C3" s="20" t="s">
        <v>260</v>
      </c>
      <c r="D3" s="20" t="s">
        <v>261</v>
      </c>
      <c r="E3" s="27">
        <v>3</v>
      </c>
      <c r="F3" s="28" t="s">
        <v>27</v>
      </c>
      <c r="G3" s="20" t="s">
        <v>262</v>
      </c>
      <c r="H3" s="20" t="s">
        <v>151</v>
      </c>
    </row>
    <row r="4" spans="1:8" ht="18" customHeight="1" x14ac:dyDescent="0.3">
      <c r="A4" s="19" t="s">
        <v>263</v>
      </c>
      <c r="B4" s="19" t="s">
        <v>264</v>
      </c>
      <c r="C4" s="19"/>
      <c r="D4" s="19"/>
      <c r="E4" s="19"/>
      <c r="F4" s="19"/>
      <c r="G4" s="19"/>
      <c r="H4" s="19"/>
    </row>
    <row r="5" spans="1:8" ht="135" customHeight="1" x14ac:dyDescent="0.3">
      <c r="A5" s="20" t="s">
        <v>263</v>
      </c>
      <c r="B5" s="20" t="s">
        <v>264</v>
      </c>
      <c r="C5" s="20" t="s">
        <v>265</v>
      </c>
      <c r="D5" s="20" t="s">
        <v>266</v>
      </c>
      <c r="E5" s="25">
        <v>1</v>
      </c>
      <c r="F5" s="24" t="s">
        <v>23</v>
      </c>
      <c r="G5" s="20" t="s">
        <v>267</v>
      </c>
      <c r="H5" s="20" t="s">
        <v>268</v>
      </c>
    </row>
    <row r="6" spans="1:8" ht="30" customHeight="1" x14ac:dyDescent="0.3">
      <c r="A6" s="23" t="s">
        <v>263</v>
      </c>
      <c r="B6" s="23" t="s">
        <v>264</v>
      </c>
      <c r="C6" s="23" t="s">
        <v>269</v>
      </c>
      <c r="D6" s="23" t="s">
        <v>270</v>
      </c>
      <c r="E6" s="25">
        <v>1</v>
      </c>
      <c r="F6" s="26" t="s">
        <v>25</v>
      </c>
      <c r="G6" s="23" t="s">
        <v>271</v>
      </c>
      <c r="H6" s="23" t="s">
        <v>272</v>
      </c>
    </row>
    <row r="7" spans="1:8" ht="30" customHeight="1" x14ac:dyDescent="0.3">
      <c r="A7" s="20" t="s">
        <v>263</v>
      </c>
      <c r="B7" s="20" t="s">
        <v>264</v>
      </c>
      <c r="C7" s="20" t="s">
        <v>273</v>
      </c>
      <c r="D7" s="20" t="s">
        <v>274</v>
      </c>
      <c r="E7" s="27">
        <v>3</v>
      </c>
      <c r="F7" s="26" t="s">
        <v>25</v>
      </c>
      <c r="G7" s="20" t="s">
        <v>271</v>
      </c>
      <c r="H7" s="20" t="s">
        <v>272</v>
      </c>
    </row>
    <row r="8" spans="1:8" ht="18" customHeight="1" x14ac:dyDescent="0.3">
      <c r="A8" s="19" t="s">
        <v>275</v>
      </c>
      <c r="B8" s="19" t="s">
        <v>276</v>
      </c>
      <c r="C8" s="19"/>
      <c r="D8" s="19"/>
      <c r="E8" s="19"/>
      <c r="F8" s="19"/>
      <c r="G8" s="19"/>
      <c r="H8" s="19"/>
    </row>
    <row r="9" spans="1:8" ht="45" customHeight="1" x14ac:dyDescent="0.3">
      <c r="A9" s="20" t="s">
        <v>275</v>
      </c>
      <c r="B9" s="20" t="s">
        <v>276</v>
      </c>
      <c r="C9" s="20" t="s">
        <v>277</v>
      </c>
      <c r="D9" s="20" t="s">
        <v>278</v>
      </c>
      <c r="E9" s="25">
        <v>1</v>
      </c>
      <c r="F9" s="22" t="s">
        <v>21</v>
      </c>
      <c r="G9" s="20" t="s">
        <v>279</v>
      </c>
      <c r="H9" s="20" t="s">
        <v>280</v>
      </c>
    </row>
    <row r="10" spans="1:8" ht="60" customHeight="1" x14ac:dyDescent="0.3">
      <c r="A10" s="23" t="s">
        <v>275</v>
      </c>
      <c r="B10" s="23" t="s">
        <v>276</v>
      </c>
      <c r="C10" s="23" t="s">
        <v>281</v>
      </c>
      <c r="D10" s="23" t="s">
        <v>282</v>
      </c>
      <c r="E10" s="21">
        <v>2</v>
      </c>
      <c r="F10" s="28" t="s">
        <v>27</v>
      </c>
      <c r="G10" s="23" t="s">
        <v>283</v>
      </c>
      <c r="H10" s="23" t="s">
        <v>280</v>
      </c>
    </row>
    <row r="11" spans="1:8" ht="45" customHeight="1" x14ac:dyDescent="0.3">
      <c r="A11" s="20" t="s">
        <v>275</v>
      </c>
      <c r="B11" s="20" t="s">
        <v>276</v>
      </c>
      <c r="C11" s="20" t="s">
        <v>284</v>
      </c>
      <c r="D11" s="20" t="s">
        <v>285</v>
      </c>
      <c r="E11" s="21">
        <v>2</v>
      </c>
      <c r="F11" s="28" t="s">
        <v>27</v>
      </c>
      <c r="G11" s="20" t="s">
        <v>283</v>
      </c>
      <c r="H11" s="20" t="s">
        <v>280</v>
      </c>
    </row>
    <row r="12" spans="1:8" ht="75" customHeight="1" x14ac:dyDescent="0.3">
      <c r="A12" s="23" t="s">
        <v>275</v>
      </c>
      <c r="B12" s="23" t="s">
        <v>276</v>
      </c>
      <c r="C12" s="23" t="s">
        <v>286</v>
      </c>
      <c r="D12" s="23" t="s">
        <v>287</v>
      </c>
      <c r="E12" s="21">
        <v>2</v>
      </c>
      <c r="F12" s="22" t="s">
        <v>21</v>
      </c>
      <c r="G12" s="23" t="s">
        <v>279</v>
      </c>
      <c r="H12" s="23" t="s">
        <v>280</v>
      </c>
    </row>
    <row r="13" spans="1:8" ht="75" customHeight="1" x14ac:dyDescent="0.3">
      <c r="A13" s="20" t="s">
        <v>275</v>
      </c>
      <c r="B13" s="20" t="s">
        <v>276</v>
      </c>
      <c r="C13" s="20" t="s">
        <v>288</v>
      </c>
      <c r="D13" s="20" t="s">
        <v>289</v>
      </c>
      <c r="E13" s="27">
        <v>3</v>
      </c>
      <c r="F13" s="28" t="s">
        <v>27</v>
      </c>
      <c r="G13" s="20" t="s">
        <v>290</v>
      </c>
      <c r="H13" s="20" t="s">
        <v>280</v>
      </c>
    </row>
    <row r="14" spans="1:8" ht="18" customHeight="1" x14ac:dyDescent="0.3">
      <c r="A14" s="19" t="s">
        <v>291</v>
      </c>
      <c r="B14" s="19" t="s">
        <v>292</v>
      </c>
      <c r="C14" s="19"/>
      <c r="D14" s="19"/>
      <c r="E14" s="19"/>
      <c r="F14" s="19"/>
      <c r="G14" s="19"/>
      <c r="H14" s="19"/>
    </row>
    <row r="15" spans="1:8" ht="60" customHeight="1" x14ac:dyDescent="0.3">
      <c r="A15" s="20" t="s">
        <v>291</v>
      </c>
      <c r="B15" s="20" t="s">
        <v>292</v>
      </c>
      <c r="C15" s="20" t="s">
        <v>293</v>
      </c>
      <c r="D15" s="20" t="s">
        <v>294</v>
      </c>
      <c r="E15" s="25">
        <v>1</v>
      </c>
      <c r="F15" s="22" t="s">
        <v>21</v>
      </c>
      <c r="G15" s="20" t="s">
        <v>295</v>
      </c>
      <c r="H15" s="20" t="s">
        <v>296</v>
      </c>
    </row>
    <row r="16" spans="1:8" ht="90" customHeight="1" x14ac:dyDescent="0.3">
      <c r="A16" s="23" t="s">
        <v>291</v>
      </c>
      <c r="B16" s="23" t="s">
        <v>292</v>
      </c>
      <c r="C16" s="23" t="s">
        <v>297</v>
      </c>
      <c r="D16" s="23" t="s">
        <v>298</v>
      </c>
      <c r="E16" s="25">
        <v>1</v>
      </c>
      <c r="F16" s="28" t="s">
        <v>27</v>
      </c>
      <c r="G16" s="23" t="s">
        <v>299</v>
      </c>
      <c r="H16" s="23" t="s">
        <v>300</v>
      </c>
    </row>
    <row r="17" spans="1:8" ht="120" customHeight="1" x14ac:dyDescent="0.3">
      <c r="A17" s="20" t="s">
        <v>291</v>
      </c>
      <c r="B17" s="20" t="s">
        <v>292</v>
      </c>
      <c r="C17" s="20" t="s">
        <v>301</v>
      </c>
      <c r="D17" s="20" t="s">
        <v>302</v>
      </c>
      <c r="E17" s="21">
        <v>2</v>
      </c>
      <c r="F17" s="28" t="s">
        <v>27</v>
      </c>
      <c r="G17" s="20" t="s">
        <v>303</v>
      </c>
      <c r="H17" s="20" t="s">
        <v>300</v>
      </c>
    </row>
    <row r="18" spans="1:8" ht="120" customHeight="1" x14ac:dyDescent="0.3">
      <c r="A18" s="23" t="s">
        <v>291</v>
      </c>
      <c r="B18" s="23" t="s">
        <v>292</v>
      </c>
      <c r="C18" s="23" t="s">
        <v>304</v>
      </c>
      <c r="D18" s="23" t="s">
        <v>305</v>
      </c>
      <c r="E18" s="21">
        <v>2</v>
      </c>
      <c r="F18" s="28" t="s">
        <v>27</v>
      </c>
      <c r="G18" s="20" t="s">
        <v>303</v>
      </c>
      <c r="H18" s="23" t="s">
        <v>300</v>
      </c>
    </row>
    <row r="19" spans="1:8" ht="105" customHeight="1" x14ac:dyDescent="0.3">
      <c r="A19" s="20" t="s">
        <v>291</v>
      </c>
      <c r="B19" s="20" t="s">
        <v>292</v>
      </c>
      <c r="C19" s="20" t="s">
        <v>306</v>
      </c>
      <c r="D19" s="20" t="s">
        <v>307</v>
      </c>
      <c r="E19" s="21">
        <v>2</v>
      </c>
      <c r="F19" s="28" t="s">
        <v>27</v>
      </c>
      <c r="G19" s="20" t="s">
        <v>303</v>
      </c>
      <c r="H19" s="20" t="s">
        <v>300</v>
      </c>
    </row>
    <row r="20" spans="1:8" ht="90" customHeight="1" x14ac:dyDescent="0.3">
      <c r="A20" s="23" t="s">
        <v>291</v>
      </c>
      <c r="B20" s="23" t="s">
        <v>292</v>
      </c>
      <c r="C20" s="23" t="s">
        <v>308</v>
      </c>
      <c r="D20" s="23" t="s">
        <v>309</v>
      </c>
      <c r="E20" s="21">
        <v>2</v>
      </c>
      <c r="F20" s="28" t="s">
        <v>27</v>
      </c>
      <c r="G20" s="20" t="s">
        <v>303</v>
      </c>
      <c r="H20" s="23" t="s">
        <v>300</v>
      </c>
    </row>
    <row r="21" spans="1:8" ht="45" customHeight="1" x14ac:dyDescent="0.3">
      <c r="A21" s="20" t="s">
        <v>291</v>
      </c>
      <c r="B21" s="20" t="s">
        <v>292</v>
      </c>
      <c r="C21" s="20" t="s">
        <v>310</v>
      </c>
      <c r="D21" s="20" t="s">
        <v>311</v>
      </c>
      <c r="E21" s="27">
        <v>3</v>
      </c>
      <c r="F21" s="28" t="s">
        <v>27</v>
      </c>
      <c r="G21" s="20" t="s">
        <v>303</v>
      </c>
      <c r="H21" s="20" t="s">
        <v>300</v>
      </c>
    </row>
    <row r="22" spans="1:8" ht="90" customHeight="1" x14ac:dyDescent="0.3">
      <c r="A22" s="23" t="s">
        <v>291</v>
      </c>
      <c r="B22" s="23" t="s">
        <v>292</v>
      </c>
      <c r="C22" s="23" t="s">
        <v>312</v>
      </c>
      <c r="D22" s="23" t="s">
        <v>313</v>
      </c>
      <c r="E22" s="27">
        <v>3</v>
      </c>
      <c r="F22" s="28" t="s">
        <v>27</v>
      </c>
      <c r="G22" s="20" t="s">
        <v>303</v>
      </c>
      <c r="H22" s="23" t="s">
        <v>300</v>
      </c>
    </row>
    <row r="23" spans="1:8" ht="18" customHeight="1" x14ac:dyDescent="0.3">
      <c r="A23" s="19" t="s">
        <v>314</v>
      </c>
      <c r="B23" s="19" t="s">
        <v>315</v>
      </c>
      <c r="C23" s="19"/>
      <c r="D23" s="19"/>
      <c r="E23" s="19"/>
      <c r="F23" s="19"/>
      <c r="G23" s="19"/>
      <c r="H23" s="19"/>
    </row>
    <row r="24" spans="1:8" ht="120" customHeight="1" x14ac:dyDescent="0.3">
      <c r="A24" s="20" t="s">
        <v>314</v>
      </c>
      <c r="B24" s="20" t="s">
        <v>315</v>
      </c>
      <c r="C24" s="20" t="s">
        <v>316</v>
      </c>
      <c r="D24" s="20" t="s">
        <v>317</v>
      </c>
      <c r="E24" s="25">
        <v>1</v>
      </c>
      <c r="F24" s="28" t="s">
        <v>27</v>
      </c>
      <c r="G24" s="20" t="s">
        <v>318</v>
      </c>
      <c r="H24" s="20" t="s">
        <v>300</v>
      </c>
    </row>
    <row r="25" spans="1:8" ht="105" customHeight="1" x14ac:dyDescent="0.3">
      <c r="A25" s="23" t="s">
        <v>314</v>
      </c>
      <c r="B25" s="23" t="s">
        <v>315</v>
      </c>
      <c r="C25" s="23" t="s">
        <v>319</v>
      </c>
      <c r="D25" s="23" t="s">
        <v>320</v>
      </c>
      <c r="E25" s="25">
        <v>1</v>
      </c>
      <c r="F25" s="28" t="s">
        <v>27</v>
      </c>
      <c r="G25" s="23" t="s">
        <v>321</v>
      </c>
      <c r="H25" s="23" t="s">
        <v>300</v>
      </c>
    </row>
    <row r="26" spans="1:8" ht="120" customHeight="1" x14ac:dyDescent="0.3">
      <c r="A26" s="20" t="s">
        <v>314</v>
      </c>
      <c r="B26" s="20" t="s">
        <v>315</v>
      </c>
      <c r="C26" s="20" t="s">
        <v>322</v>
      </c>
      <c r="D26" s="20" t="s">
        <v>323</v>
      </c>
      <c r="E26" s="25">
        <v>1</v>
      </c>
      <c r="F26" s="22" t="s">
        <v>21</v>
      </c>
      <c r="G26" s="20" t="s">
        <v>324</v>
      </c>
      <c r="H26" s="20" t="s">
        <v>325</v>
      </c>
    </row>
    <row r="27" spans="1:8" ht="75" customHeight="1" x14ac:dyDescent="0.3">
      <c r="A27" s="23" t="s">
        <v>314</v>
      </c>
      <c r="B27" s="23" t="s">
        <v>315</v>
      </c>
      <c r="C27" s="23" t="s">
        <v>326</v>
      </c>
      <c r="D27" s="23" t="s">
        <v>327</v>
      </c>
      <c r="E27" s="21">
        <v>2</v>
      </c>
      <c r="F27" s="28" t="s">
        <v>27</v>
      </c>
      <c r="G27" s="23" t="s">
        <v>328</v>
      </c>
      <c r="H27" s="23" t="s">
        <v>280</v>
      </c>
    </row>
    <row r="28" spans="1:8" ht="45" customHeight="1" x14ac:dyDescent="0.3">
      <c r="A28" s="20" t="s">
        <v>314</v>
      </c>
      <c r="B28" s="20" t="s">
        <v>315</v>
      </c>
      <c r="C28" s="20" t="s">
        <v>329</v>
      </c>
      <c r="D28" s="20" t="s">
        <v>330</v>
      </c>
      <c r="E28" s="21">
        <v>2</v>
      </c>
      <c r="F28" s="26" t="s">
        <v>25</v>
      </c>
      <c r="G28" s="20" t="s">
        <v>271</v>
      </c>
      <c r="H28" s="20" t="s">
        <v>272</v>
      </c>
    </row>
    <row r="29" spans="1:8" ht="45" customHeight="1" x14ac:dyDescent="0.3">
      <c r="A29" s="23" t="s">
        <v>314</v>
      </c>
      <c r="B29" s="23" t="s">
        <v>315</v>
      </c>
      <c r="C29" s="23" t="s">
        <v>331</v>
      </c>
      <c r="D29" s="23" t="s">
        <v>332</v>
      </c>
      <c r="E29" s="27">
        <v>3</v>
      </c>
      <c r="F29" s="28" t="s">
        <v>27</v>
      </c>
      <c r="G29" s="23" t="s">
        <v>333</v>
      </c>
      <c r="H29" s="23" t="s">
        <v>300</v>
      </c>
    </row>
    <row r="30" spans="1:8" ht="45" customHeight="1" x14ac:dyDescent="0.3">
      <c r="A30" s="20" t="s">
        <v>314</v>
      </c>
      <c r="B30" s="20" t="s">
        <v>315</v>
      </c>
      <c r="C30" s="20" t="s">
        <v>334</v>
      </c>
      <c r="D30" s="20" t="s">
        <v>335</v>
      </c>
      <c r="E30" s="27">
        <v>3</v>
      </c>
      <c r="F30" s="26" t="s">
        <v>25</v>
      </c>
      <c r="G30" s="20" t="s">
        <v>271</v>
      </c>
      <c r="H30" s="20" t="s">
        <v>272</v>
      </c>
    </row>
    <row r="31" spans="1:8" ht="120" customHeight="1" x14ac:dyDescent="0.3">
      <c r="A31" s="23" t="s">
        <v>314</v>
      </c>
      <c r="B31" s="23" t="s">
        <v>315</v>
      </c>
      <c r="C31" s="23" t="s">
        <v>336</v>
      </c>
      <c r="D31" s="23" t="s">
        <v>337</v>
      </c>
      <c r="E31" s="27">
        <v>3</v>
      </c>
      <c r="F31" s="28" t="s">
        <v>27</v>
      </c>
      <c r="G31" s="23" t="s">
        <v>338</v>
      </c>
      <c r="H31" s="23" t="s">
        <v>300</v>
      </c>
    </row>
    <row r="32" spans="1:8" ht="18" customHeight="1" x14ac:dyDescent="0.3">
      <c r="A32" s="19" t="s">
        <v>339</v>
      </c>
      <c r="B32" s="19" t="s">
        <v>340</v>
      </c>
      <c r="C32" s="19"/>
      <c r="D32" s="19"/>
      <c r="E32" s="19"/>
      <c r="F32" s="19"/>
      <c r="G32" s="19"/>
      <c r="H32" s="19"/>
    </row>
    <row r="33" spans="1:8" ht="90" customHeight="1" x14ac:dyDescent="0.3">
      <c r="A33" s="20" t="s">
        <v>339</v>
      </c>
      <c r="B33" s="20" t="s">
        <v>340</v>
      </c>
      <c r="C33" s="20" t="s">
        <v>341</v>
      </c>
      <c r="D33" s="20" t="s">
        <v>342</v>
      </c>
      <c r="E33" s="27">
        <v>3</v>
      </c>
      <c r="F33" s="26" t="s">
        <v>25</v>
      </c>
      <c r="G33" s="20" t="s">
        <v>343</v>
      </c>
      <c r="H33" s="20" t="s">
        <v>151</v>
      </c>
    </row>
    <row r="34" spans="1:8" ht="18" customHeight="1" x14ac:dyDescent="0.3">
      <c r="A34" s="19" t="s">
        <v>344</v>
      </c>
      <c r="B34" s="19" t="s">
        <v>345</v>
      </c>
      <c r="C34" s="19"/>
      <c r="D34" s="19"/>
      <c r="E34" s="19"/>
      <c r="F34" s="19"/>
      <c r="G34" s="19"/>
      <c r="H34" s="19"/>
    </row>
    <row r="35" spans="1:8" ht="75" customHeight="1" x14ac:dyDescent="0.3">
      <c r="A35" s="20" t="s">
        <v>344</v>
      </c>
      <c r="B35" s="20" t="s">
        <v>345</v>
      </c>
      <c r="C35" s="20" t="s">
        <v>346</v>
      </c>
      <c r="D35" s="20" t="s">
        <v>347</v>
      </c>
      <c r="E35" s="21">
        <v>2</v>
      </c>
      <c r="F35" s="26" t="s">
        <v>25</v>
      </c>
      <c r="G35" s="20" t="s">
        <v>271</v>
      </c>
      <c r="H35" s="20" t="s">
        <v>272</v>
      </c>
    </row>
    <row r="36" spans="1:8" ht="60" customHeight="1" x14ac:dyDescent="0.3">
      <c r="A36" s="23" t="s">
        <v>344</v>
      </c>
      <c r="B36" s="23" t="s">
        <v>345</v>
      </c>
      <c r="C36" s="23" t="s">
        <v>348</v>
      </c>
      <c r="D36" s="23" t="s">
        <v>349</v>
      </c>
      <c r="E36" s="21">
        <v>2</v>
      </c>
      <c r="F36" s="26" t="s">
        <v>25</v>
      </c>
      <c r="G36" s="23" t="s">
        <v>271</v>
      </c>
      <c r="H36" s="23" t="s">
        <v>272</v>
      </c>
    </row>
    <row r="37" spans="1:8" ht="45" customHeight="1" x14ac:dyDescent="0.3">
      <c r="A37" s="20" t="s">
        <v>344</v>
      </c>
      <c r="B37" s="20" t="s">
        <v>345</v>
      </c>
      <c r="C37" s="20" t="s">
        <v>350</v>
      </c>
      <c r="D37" s="20" t="s">
        <v>351</v>
      </c>
      <c r="E37" s="27">
        <v>3</v>
      </c>
      <c r="F37" s="28" t="s">
        <v>27</v>
      </c>
      <c r="G37" s="20" t="s">
        <v>262</v>
      </c>
      <c r="H37" s="20" t="s">
        <v>151</v>
      </c>
    </row>
    <row r="38" spans="1:8" ht="75" customHeight="1" x14ac:dyDescent="0.3">
      <c r="A38" s="23" t="s">
        <v>344</v>
      </c>
      <c r="B38" s="23" t="s">
        <v>345</v>
      </c>
      <c r="C38" s="23" t="s">
        <v>352</v>
      </c>
      <c r="D38" s="23" t="s">
        <v>353</v>
      </c>
      <c r="E38" s="27">
        <v>3</v>
      </c>
      <c r="F38" s="28" t="s">
        <v>27</v>
      </c>
      <c r="G38" s="23" t="s">
        <v>354</v>
      </c>
      <c r="H38" s="23" t="s">
        <v>355</v>
      </c>
    </row>
    <row r="39" spans="1:8" ht="60" customHeight="1" x14ac:dyDescent="0.3">
      <c r="A39" s="20" t="s">
        <v>344</v>
      </c>
      <c r="B39" s="20" t="s">
        <v>345</v>
      </c>
      <c r="C39" s="20" t="s">
        <v>356</v>
      </c>
      <c r="D39" s="20" t="s">
        <v>357</v>
      </c>
      <c r="E39" s="27">
        <v>3</v>
      </c>
      <c r="F39" s="28" t="s">
        <v>27</v>
      </c>
      <c r="G39" s="20" t="s">
        <v>358</v>
      </c>
      <c r="H39" s="20" t="s">
        <v>151</v>
      </c>
    </row>
  </sheetData>
  <conditionalFormatting sqref="F2:F39">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9" xr:uid="{00000000-0002-0000-0500-000000000000}">
      <formula1>"Not Started,In Progress,Compliant,Not Applicable"</formula1>
      <formula2>0</formula2>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1"/>
  <sheetViews>
    <sheetView topLeftCell="B12" workbookViewId="0">
      <pane ySplit="1" topLeftCell="A2" activePane="bottomLeft" state="frozen"/>
      <selection pane="bottomLeft" activeCell="G21" sqref="G21"/>
    </sheetView>
  </sheetViews>
  <sheetFormatPr defaultColWidth="8.44140625" defaultRowHeight="14.4" x14ac:dyDescent="0.3"/>
  <cols>
    <col min="1" max="1" width="12" customWidth="1"/>
    <col min="2" max="2" width="30" customWidth="1"/>
    <col min="3" max="3" width="12" customWidth="1"/>
    <col min="4" max="4" width="78" customWidth="1"/>
    <col min="5" max="5" width="8" customWidth="1"/>
    <col min="6" max="6" width="16" customWidth="1"/>
    <col min="7" max="7" width="70" customWidth="1"/>
    <col min="8" max="8" width="55" customWidth="1"/>
  </cols>
  <sheetData>
    <row r="1" spans="1:8" ht="27.9" customHeight="1" x14ac:dyDescent="0.3">
      <c r="A1" s="12" t="s">
        <v>101</v>
      </c>
      <c r="B1" s="12" t="s">
        <v>102</v>
      </c>
      <c r="C1" s="12" t="s">
        <v>103</v>
      </c>
      <c r="D1" s="12" t="s">
        <v>104</v>
      </c>
      <c r="E1" s="12" t="s">
        <v>105</v>
      </c>
      <c r="F1" s="12" t="s">
        <v>106</v>
      </c>
      <c r="G1" s="12" t="s">
        <v>107</v>
      </c>
      <c r="H1" s="12" t="s">
        <v>108</v>
      </c>
    </row>
    <row r="2" spans="1:8" ht="18" customHeight="1" x14ac:dyDescent="0.3">
      <c r="A2" s="19" t="s">
        <v>359</v>
      </c>
      <c r="B2" s="19" t="s">
        <v>360</v>
      </c>
      <c r="C2" s="19"/>
      <c r="D2" s="19"/>
      <c r="E2" s="19"/>
      <c r="F2" s="19"/>
      <c r="G2" s="19"/>
      <c r="H2" s="19"/>
    </row>
    <row r="3" spans="1:8" ht="75" customHeight="1" x14ac:dyDescent="0.3">
      <c r="A3" s="20" t="s">
        <v>359</v>
      </c>
      <c r="B3" s="20" t="s">
        <v>360</v>
      </c>
      <c r="C3" s="20" t="s">
        <v>361</v>
      </c>
      <c r="D3" s="20" t="s">
        <v>362</v>
      </c>
      <c r="E3" s="25">
        <v>1</v>
      </c>
      <c r="F3" s="22" t="s">
        <v>21</v>
      </c>
      <c r="G3" s="20" t="s">
        <v>363</v>
      </c>
      <c r="H3" s="20" t="s">
        <v>364</v>
      </c>
    </row>
    <row r="4" spans="1:8" ht="105" customHeight="1" x14ac:dyDescent="0.3">
      <c r="A4" s="23" t="s">
        <v>359</v>
      </c>
      <c r="B4" s="23" t="s">
        <v>360</v>
      </c>
      <c r="C4" s="23" t="s">
        <v>365</v>
      </c>
      <c r="D4" s="23" t="s">
        <v>366</v>
      </c>
      <c r="E4" s="21">
        <v>2</v>
      </c>
      <c r="F4" s="28" t="s">
        <v>27</v>
      </c>
      <c r="G4" s="23" t="s">
        <v>367</v>
      </c>
      <c r="H4" s="23" t="s">
        <v>355</v>
      </c>
    </row>
    <row r="5" spans="1:8" ht="75" customHeight="1" x14ac:dyDescent="0.3">
      <c r="A5" s="20" t="s">
        <v>359</v>
      </c>
      <c r="B5" s="20" t="s">
        <v>360</v>
      </c>
      <c r="C5" s="20" t="s">
        <v>368</v>
      </c>
      <c r="D5" s="20" t="s">
        <v>369</v>
      </c>
      <c r="E5" s="21">
        <v>2</v>
      </c>
      <c r="F5" s="28" t="s">
        <v>27</v>
      </c>
      <c r="G5" s="20" t="s">
        <v>370</v>
      </c>
      <c r="H5" s="20" t="s">
        <v>241</v>
      </c>
    </row>
    <row r="6" spans="1:8" ht="45" customHeight="1" x14ac:dyDescent="0.3">
      <c r="A6" s="23" t="s">
        <v>359</v>
      </c>
      <c r="B6" s="23" t="s">
        <v>360</v>
      </c>
      <c r="C6" s="23" t="s">
        <v>371</v>
      </c>
      <c r="D6" s="23" t="s">
        <v>372</v>
      </c>
      <c r="E6" s="27">
        <v>3</v>
      </c>
      <c r="F6" s="22" t="s">
        <v>21</v>
      </c>
      <c r="G6" s="23" t="s">
        <v>373</v>
      </c>
      <c r="H6" s="23" t="s">
        <v>325</v>
      </c>
    </row>
    <row r="7" spans="1:8" ht="60" customHeight="1" x14ac:dyDescent="0.3">
      <c r="A7" s="20" t="s">
        <v>359</v>
      </c>
      <c r="B7" s="20" t="s">
        <v>360</v>
      </c>
      <c r="C7" s="20" t="s">
        <v>374</v>
      </c>
      <c r="D7" s="20" t="s">
        <v>375</v>
      </c>
      <c r="E7" s="27">
        <v>3</v>
      </c>
      <c r="F7" s="26" t="s">
        <v>25</v>
      </c>
      <c r="G7" s="20" t="s">
        <v>123</v>
      </c>
      <c r="H7" s="20" t="s">
        <v>124</v>
      </c>
    </row>
    <row r="8" spans="1:8" ht="18" customHeight="1" x14ac:dyDescent="0.3">
      <c r="A8" s="19" t="s">
        <v>376</v>
      </c>
      <c r="B8" s="19" t="s">
        <v>377</v>
      </c>
      <c r="C8" s="19"/>
      <c r="D8" s="19"/>
      <c r="E8" s="19"/>
      <c r="F8" s="19"/>
      <c r="G8" s="19"/>
      <c r="H8" s="19"/>
    </row>
    <row r="9" spans="1:8" ht="135" customHeight="1" x14ac:dyDescent="0.3">
      <c r="A9" s="20" t="s">
        <v>376</v>
      </c>
      <c r="B9" s="20" t="s">
        <v>377</v>
      </c>
      <c r="C9" s="20" t="s">
        <v>378</v>
      </c>
      <c r="D9" s="20" t="s">
        <v>379</v>
      </c>
      <c r="E9" s="21">
        <v>2</v>
      </c>
      <c r="F9" s="28" t="s">
        <v>27</v>
      </c>
      <c r="G9" s="20" t="s">
        <v>380</v>
      </c>
      <c r="H9" s="20" t="s">
        <v>241</v>
      </c>
    </row>
    <row r="10" spans="1:8" ht="60" customHeight="1" x14ac:dyDescent="0.3">
      <c r="A10" s="23" t="s">
        <v>376</v>
      </c>
      <c r="B10" s="23" t="s">
        <v>377</v>
      </c>
      <c r="C10" s="23" t="s">
        <v>381</v>
      </c>
      <c r="D10" s="23" t="s">
        <v>382</v>
      </c>
      <c r="E10" s="27">
        <v>3</v>
      </c>
      <c r="F10" s="28" t="s">
        <v>27</v>
      </c>
      <c r="G10" s="20" t="s">
        <v>380</v>
      </c>
      <c r="H10" s="23" t="s">
        <v>241</v>
      </c>
    </row>
    <row r="11" spans="1:8" ht="60" customHeight="1" x14ac:dyDescent="0.3">
      <c r="A11" s="20" t="s">
        <v>376</v>
      </c>
      <c r="B11" s="20" t="s">
        <v>377</v>
      </c>
      <c r="C11" s="20" t="s">
        <v>383</v>
      </c>
      <c r="D11" s="20" t="s">
        <v>384</v>
      </c>
      <c r="E11" s="27">
        <v>3</v>
      </c>
      <c r="F11" s="28" t="s">
        <v>27</v>
      </c>
      <c r="G11" s="20" t="s">
        <v>380</v>
      </c>
      <c r="H11" s="20" t="s">
        <v>241</v>
      </c>
    </row>
    <row r="12" spans="1:8" ht="60" customHeight="1" x14ac:dyDescent="0.3">
      <c r="A12" s="23" t="s">
        <v>376</v>
      </c>
      <c r="B12" s="23" t="s">
        <v>377</v>
      </c>
      <c r="C12" s="23" t="s">
        <v>385</v>
      </c>
      <c r="D12" s="23" t="s">
        <v>386</v>
      </c>
      <c r="E12" s="27">
        <v>3</v>
      </c>
      <c r="F12" s="28" t="s">
        <v>27</v>
      </c>
      <c r="G12" s="20" t="s">
        <v>380</v>
      </c>
      <c r="H12" s="23" t="s">
        <v>241</v>
      </c>
    </row>
    <row r="13" spans="1:8" ht="120" customHeight="1" x14ac:dyDescent="0.3">
      <c r="A13" s="20" t="s">
        <v>376</v>
      </c>
      <c r="B13" s="20" t="s">
        <v>377</v>
      </c>
      <c r="C13" s="20" t="s">
        <v>387</v>
      </c>
      <c r="D13" s="20" t="s">
        <v>388</v>
      </c>
      <c r="E13" s="27">
        <v>3</v>
      </c>
      <c r="F13" s="28" t="s">
        <v>27</v>
      </c>
      <c r="G13" s="20" t="s">
        <v>389</v>
      </c>
      <c r="H13" s="20" t="s">
        <v>241</v>
      </c>
    </row>
    <row r="14" spans="1:8" ht="18" customHeight="1" x14ac:dyDescent="0.3">
      <c r="A14" s="19" t="s">
        <v>390</v>
      </c>
      <c r="B14" s="19" t="s">
        <v>391</v>
      </c>
      <c r="C14" s="19"/>
      <c r="D14" s="19"/>
      <c r="E14" s="19"/>
      <c r="F14" s="19"/>
      <c r="G14" s="19"/>
      <c r="H14" s="19"/>
    </row>
    <row r="15" spans="1:8" ht="60" customHeight="1" x14ac:dyDescent="0.3">
      <c r="A15" s="20" t="s">
        <v>390</v>
      </c>
      <c r="B15" s="20" t="s">
        <v>391</v>
      </c>
      <c r="C15" s="20" t="s">
        <v>392</v>
      </c>
      <c r="D15" s="20" t="s">
        <v>393</v>
      </c>
      <c r="E15" s="21">
        <v>2</v>
      </c>
      <c r="F15" s="26" t="s">
        <v>25</v>
      </c>
      <c r="G15" s="20" t="s">
        <v>394</v>
      </c>
      <c r="H15" s="20" t="s">
        <v>395</v>
      </c>
    </row>
    <row r="16" spans="1:8" ht="45" customHeight="1" x14ac:dyDescent="0.3">
      <c r="A16" s="23" t="s">
        <v>390</v>
      </c>
      <c r="B16" s="23" t="s">
        <v>391</v>
      </c>
      <c r="C16" s="23" t="s">
        <v>396</v>
      </c>
      <c r="D16" s="23" t="s">
        <v>397</v>
      </c>
      <c r="E16" s="21">
        <v>2</v>
      </c>
      <c r="F16" s="26" t="s">
        <v>25</v>
      </c>
      <c r="G16" s="23" t="s">
        <v>394</v>
      </c>
      <c r="H16" s="23" t="s">
        <v>395</v>
      </c>
    </row>
    <row r="17" spans="1:8" ht="18" customHeight="1" x14ac:dyDescent="0.3">
      <c r="A17" s="19" t="s">
        <v>398</v>
      </c>
      <c r="B17" s="19" t="s">
        <v>399</v>
      </c>
      <c r="C17" s="19"/>
      <c r="D17" s="19"/>
      <c r="E17" s="19"/>
      <c r="F17" s="19"/>
      <c r="G17" s="19"/>
      <c r="H17" s="19"/>
    </row>
    <row r="18" spans="1:8" ht="30" customHeight="1" x14ac:dyDescent="0.3">
      <c r="A18" s="20" t="s">
        <v>398</v>
      </c>
      <c r="B18" s="20" t="s">
        <v>399</v>
      </c>
      <c r="C18" s="20" t="s">
        <v>400</v>
      </c>
      <c r="D18" s="20" t="s">
        <v>401</v>
      </c>
      <c r="E18" s="25">
        <v>1</v>
      </c>
      <c r="F18" s="26" t="s">
        <v>25</v>
      </c>
      <c r="G18" s="20" t="s">
        <v>402</v>
      </c>
      <c r="H18" s="20" t="s">
        <v>403</v>
      </c>
    </row>
    <row r="19" spans="1:8" ht="45" customHeight="1" x14ac:dyDescent="0.3">
      <c r="A19" s="23" t="s">
        <v>398</v>
      </c>
      <c r="B19" s="23" t="s">
        <v>399</v>
      </c>
      <c r="C19" s="23" t="s">
        <v>404</v>
      </c>
      <c r="D19" s="23" t="s">
        <v>405</v>
      </c>
      <c r="E19" s="21">
        <v>2</v>
      </c>
      <c r="F19" s="26" t="s">
        <v>25</v>
      </c>
      <c r="G19" s="23" t="s">
        <v>402</v>
      </c>
      <c r="H19" s="23" t="s">
        <v>403</v>
      </c>
    </row>
    <row r="20" spans="1:8" ht="60" customHeight="1" x14ac:dyDescent="0.3">
      <c r="A20" s="20" t="s">
        <v>398</v>
      </c>
      <c r="B20" s="20" t="s">
        <v>399</v>
      </c>
      <c r="C20" s="20" t="s">
        <v>406</v>
      </c>
      <c r="D20" s="20" t="s">
        <v>407</v>
      </c>
      <c r="E20" s="21">
        <v>2</v>
      </c>
      <c r="F20" s="28" t="s">
        <v>27</v>
      </c>
      <c r="G20" s="20" t="s">
        <v>408</v>
      </c>
      <c r="H20" s="20" t="s">
        <v>241</v>
      </c>
    </row>
    <row r="21" spans="1:8" ht="60" customHeight="1" x14ac:dyDescent="0.3">
      <c r="A21" s="23" t="s">
        <v>398</v>
      </c>
      <c r="B21" s="23" t="s">
        <v>399</v>
      </c>
      <c r="C21" s="23" t="s">
        <v>409</v>
      </c>
      <c r="D21" s="23" t="s">
        <v>410</v>
      </c>
      <c r="E21" s="21">
        <v>2</v>
      </c>
      <c r="F21" s="26" t="s">
        <v>25</v>
      </c>
      <c r="G21" s="23" t="s">
        <v>402</v>
      </c>
      <c r="H21" s="23" t="s">
        <v>403</v>
      </c>
    </row>
  </sheetData>
  <conditionalFormatting sqref="F2:F21">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1" xr:uid="{00000000-0002-0000-0600-000000000000}">
      <formula1>"Not Started,In Progress,Compliant,Not Applicable"</formula1>
      <formula2>0</formula2>
    </dataValidation>
  </dataValidation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8"/>
  <sheetViews>
    <sheetView topLeftCell="A3" zoomScale="80" zoomScaleNormal="80" workbookViewId="0">
      <pane ySplit="1" topLeftCell="A2" activePane="bottomLeft" state="frozen"/>
      <selection pane="bottomLeft" activeCell="H18" sqref="H18"/>
    </sheetView>
  </sheetViews>
  <sheetFormatPr defaultColWidth="8.44140625" defaultRowHeight="14.4" x14ac:dyDescent="0.3"/>
  <cols>
    <col min="1" max="1" width="12" customWidth="1"/>
    <col min="2" max="2" width="30" customWidth="1"/>
    <col min="3" max="3" width="12" customWidth="1"/>
    <col min="4" max="4" width="78" customWidth="1"/>
    <col min="5" max="5" width="8" customWidth="1"/>
    <col min="6" max="6" width="16" customWidth="1"/>
    <col min="7" max="7" width="70" customWidth="1"/>
    <col min="8" max="8" width="55" customWidth="1"/>
  </cols>
  <sheetData>
    <row r="1" spans="1:8" ht="27.9" customHeight="1" x14ac:dyDescent="0.3">
      <c r="A1" s="12" t="s">
        <v>101</v>
      </c>
      <c r="B1" s="12" t="s">
        <v>102</v>
      </c>
      <c r="C1" s="12" t="s">
        <v>103</v>
      </c>
      <c r="D1" s="12" t="s">
        <v>104</v>
      </c>
      <c r="E1" s="12" t="s">
        <v>105</v>
      </c>
      <c r="F1" s="12" t="s">
        <v>106</v>
      </c>
      <c r="G1" s="12" t="s">
        <v>107</v>
      </c>
      <c r="H1" s="12" t="s">
        <v>108</v>
      </c>
    </row>
    <row r="2" spans="1:8" ht="18" customHeight="1" x14ac:dyDescent="0.3">
      <c r="A2" s="19" t="s">
        <v>411</v>
      </c>
      <c r="B2" s="19" t="s">
        <v>412</v>
      </c>
      <c r="C2" s="19"/>
      <c r="D2" s="19"/>
      <c r="E2" s="19"/>
      <c r="F2" s="19"/>
      <c r="G2" s="19"/>
      <c r="H2" s="19"/>
    </row>
    <row r="3" spans="1:8" ht="90" customHeight="1" x14ac:dyDescent="0.3">
      <c r="A3" s="20" t="s">
        <v>411</v>
      </c>
      <c r="B3" s="20" t="s">
        <v>412</v>
      </c>
      <c r="C3" s="20" t="s">
        <v>413</v>
      </c>
      <c r="D3" s="20" t="s">
        <v>414</v>
      </c>
      <c r="E3" s="21">
        <v>2</v>
      </c>
      <c r="F3" s="24" t="s">
        <v>23</v>
      </c>
      <c r="G3" s="20" t="s">
        <v>415</v>
      </c>
      <c r="H3" s="20" t="s">
        <v>416</v>
      </c>
    </row>
    <row r="4" spans="1:8" ht="18" customHeight="1" x14ac:dyDescent="0.3">
      <c r="A4" s="19" t="s">
        <v>417</v>
      </c>
      <c r="B4" s="19" t="s">
        <v>418</v>
      </c>
      <c r="C4" s="19"/>
      <c r="D4" s="19"/>
      <c r="E4" s="19"/>
      <c r="F4" s="19"/>
      <c r="G4" s="19"/>
      <c r="H4" s="19"/>
    </row>
    <row r="5" spans="1:8" ht="60" customHeight="1" x14ac:dyDescent="0.3">
      <c r="A5" s="20" t="s">
        <v>417</v>
      </c>
      <c r="B5" s="20" t="s">
        <v>418</v>
      </c>
      <c r="C5" s="20" t="s">
        <v>419</v>
      </c>
      <c r="D5" s="20" t="s">
        <v>420</v>
      </c>
      <c r="E5" s="25">
        <v>1</v>
      </c>
      <c r="F5" s="22" t="s">
        <v>21</v>
      </c>
      <c r="G5" s="20" t="s">
        <v>421</v>
      </c>
      <c r="H5" s="20" t="s">
        <v>422</v>
      </c>
    </row>
    <row r="6" spans="1:8" ht="150" customHeight="1" x14ac:dyDescent="0.3">
      <c r="A6" s="23" t="s">
        <v>417</v>
      </c>
      <c r="B6" s="23" t="s">
        <v>418</v>
      </c>
      <c r="C6" s="23" t="s">
        <v>423</v>
      </c>
      <c r="D6" s="23" t="s">
        <v>424</v>
      </c>
      <c r="E6" s="25">
        <v>1</v>
      </c>
      <c r="F6" s="22" t="s">
        <v>21</v>
      </c>
      <c r="G6" s="23" t="s">
        <v>425</v>
      </c>
      <c r="H6" s="23" t="s">
        <v>426</v>
      </c>
    </row>
    <row r="7" spans="1:8" ht="45" customHeight="1" x14ac:dyDescent="0.3">
      <c r="A7" s="20" t="s">
        <v>417</v>
      </c>
      <c r="B7" s="20" t="s">
        <v>418</v>
      </c>
      <c r="C7" s="20" t="s">
        <v>427</v>
      </c>
      <c r="D7" s="20" t="s">
        <v>428</v>
      </c>
      <c r="E7" s="21">
        <v>2</v>
      </c>
      <c r="F7" s="26" t="s">
        <v>25</v>
      </c>
      <c r="G7" s="20" t="s">
        <v>429</v>
      </c>
      <c r="H7" s="20" t="s">
        <v>430</v>
      </c>
    </row>
    <row r="8" spans="1:8" ht="71.25" customHeight="1" x14ac:dyDescent="0.3">
      <c r="A8" s="23" t="s">
        <v>417</v>
      </c>
      <c r="B8" s="23" t="s">
        <v>418</v>
      </c>
      <c r="C8" s="23" t="s">
        <v>431</v>
      </c>
      <c r="D8" s="23" t="s">
        <v>432</v>
      </c>
      <c r="E8" s="27">
        <v>3</v>
      </c>
      <c r="F8" s="24" t="s">
        <v>23</v>
      </c>
      <c r="G8" s="23" t="s">
        <v>433</v>
      </c>
      <c r="H8" s="23" t="s">
        <v>434</v>
      </c>
    </row>
    <row r="9" spans="1:8" ht="60" customHeight="1" x14ac:dyDescent="0.3">
      <c r="A9" s="20" t="s">
        <v>417</v>
      </c>
      <c r="B9" s="20" t="s">
        <v>418</v>
      </c>
      <c r="C9" s="20" t="s">
        <v>435</v>
      </c>
      <c r="D9" s="20" t="s">
        <v>436</v>
      </c>
      <c r="E9" s="27">
        <v>3</v>
      </c>
      <c r="F9" s="26" t="s">
        <v>25</v>
      </c>
      <c r="G9" s="20" t="s">
        <v>429</v>
      </c>
      <c r="H9" s="20" t="s">
        <v>430</v>
      </c>
    </row>
    <row r="10" spans="1:8" ht="45" customHeight="1" x14ac:dyDescent="0.3">
      <c r="A10" s="23" t="s">
        <v>417</v>
      </c>
      <c r="B10" s="23" t="s">
        <v>418</v>
      </c>
      <c r="C10" s="23" t="s">
        <v>437</v>
      </c>
      <c r="D10" s="23" t="s">
        <v>438</v>
      </c>
      <c r="E10" s="27">
        <v>3</v>
      </c>
      <c r="F10" s="26" t="s">
        <v>25</v>
      </c>
      <c r="G10" s="23" t="s">
        <v>439</v>
      </c>
      <c r="H10" s="23" t="s">
        <v>440</v>
      </c>
    </row>
    <row r="11" spans="1:8" ht="18" customHeight="1" x14ac:dyDescent="0.3">
      <c r="A11" s="19" t="s">
        <v>441</v>
      </c>
      <c r="B11" s="19" t="s">
        <v>442</v>
      </c>
      <c r="C11" s="19"/>
      <c r="D11" s="19"/>
      <c r="E11" s="19"/>
      <c r="F11" s="19"/>
      <c r="G11" s="19"/>
      <c r="H11" s="19"/>
    </row>
    <row r="12" spans="1:8" ht="45" customHeight="1" x14ac:dyDescent="0.3">
      <c r="A12" s="20" t="s">
        <v>441</v>
      </c>
      <c r="B12" s="20" t="s">
        <v>442</v>
      </c>
      <c r="C12" s="20" t="s">
        <v>443</v>
      </c>
      <c r="D12" s="20" t="s">
        <v>444</v>
      </c>
      <c r="E12" s="25">
        <v>1</v>
      </c>
      <c r="F12" s="22" t="s">
        <v>21</v>
      </c>
      <c r="G12" s="20" t="s">
        <v>445</v>
      </c>
      <c r="H12" s="20" t="s">
        <v>446</v>
      </c>
    </row>
    <row r="13" spans="1:8" ht="105" customHeight="1" x14ac:dyDescent="0.3">
      <c r="A13" s="23" t="s">
        <v>441</v>
      </c>
      <c r="B13" s="23" t="s">
        <v>442</v>
      </c>
      <c r="C13" s="23" t="s">
        <v>447</v>
      </c>
      <c r="D13" s="23" t="s">
        <v>448</v>
      </c>
      <c r="E13" s="25">
        <v>1</v>
      </c>
      <c r="F13" s="22" t="s">
        <v>21</v>
      </c>
      <c r="G13" s="23" t="s">
        <v>449</v>
      </c>
      <c r="H13" s="23" t="s">
        <v>450</v>
      </c>
    </row>
    <row r="14" spans="1:8" ht="45" customHeight="1" x14ac:dyDescent="0.3">
      <c r="A14" s="20" t="s">
        <v>441</v>
      </c>
      <c r="B14" s="20" t="s">
        <v>442</v>
      </c>
      <c r="C14" s="20" t="s">
        <v>451</v>
      </c>
      <c r="D14" s="20" t="s">
        <v>452</v>
      </c>
      <c r="E14" s="27">
        <v>3</v>
      </c>
      <c r="F14" s="26" t="s">
        <v>25</v>
      </c>
      <c r="G14" s="20" t="s">
        <v>453</v>
      </c>
      <c r="H14" s="20" t="s">
        <v>454</v>
      </c>
    </row>
    <row r="15" spans="1:8" ht="18" customHeight="1" x14ac:dyDescent="0.3">
      <c r="A15" s="19" t="s">
        <v>455</v>
      </c>
      <c r="B15" s="19" t="s">
        <v>456</v>
      </c>
      <c r="C15" s="19"/>
      <c r="D15" s="19"/>
      <c r="E15" s="19"/>
      <c r="F15" s="19"/>
      <c r="G15" s="19"/>
      <c r="H15" s="19"/>
    </row>
    <row r="16" spans="1:8" ht="60" customHeight="1" x14ac:dyDescent="0.3">
      <c r="A16" s="20" t="s">
        <v>455</v>
      </c>
      <c r="B16" s="20" t="s">
        <v>456</v>
      </c>
      <c r="C16" s="20" t="s">
        <v>457</v>
      </c>
      <c r="D16" s="20" t="s">
        <v>458</v>
      </c>
      <c r="E16" s="21">
        <v>2</v>
      </c>
      <c r="F16" s="22" t="s">
        <v>21</v>
      </c>
      <c r="G16" s="20" t="s">
        <v>459</v>
      </c>
      <c r="H16" s="20" t="s">
        <v>460</v>
      </c>
    </row>
    <row r="17" spans="1:8" ht="60" customHeight="1" x14ac:dyDescent="0.3">
      <c r="A17" s="23" t="s">
        <v>455</v>
      </c>
      <c r="B17" s="23" t="s">
        <v>456</v>
      </c>
      <c r="C17" s="23" t="s">
        <v>461</v>
      </c>
      <c r="D17" s="23" t="s">
        <v>462</v>
      </c>
      <c r="E17" s="21">
        <v>2</v>
      </c>
      <c r="F17" s="24" t="s">
        <v>23</v>
      </c>
      <c r="G17" s="23" t="s">
        <v>463</v>
      </c>
      <c r="H17" s="23" t="s">
        <v>464</v>
      </c>
    </row>
    <row r="18" spans="1:8" ht="60" customHeight="1" x14ac:dyDescent="0.3">
      <c r="A18" s="20" t="s">
        <v>455</v>
      </c>
      <c r="B18" s="20" t="s">
        <v>456</v>
      </c>
      <c r="C18" s="20" t="s">
        <v>465</v>
      </c>
      <c r="D18" s="20" t="s">
        <v>466</v>
      </c>
      <c r="E18" s="21">
        <v>2</v>
      </c>
      <c r="F18" s="28" t="s">
        <v>27</v>
      </c>
      <c r="G18" s="20" t="s">
        <v>467</v>
      </c>
      <c r="H18" s="20" t="s">
        <v>468</v>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700-000000000000}">
      <formula1>"Not Started,In Progress,Compliant,Not Applicable"</formula1>
      <formula2>0</formula2>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56"/>
  <sheetViews>
    <sheetView topLeftCell="A37" zoomScale="60" zoomScaleNormal="60" workbookViewId="0">
      <pane ySplit="1" topLeftCell="A2" activePane="bottomLeft" state="frozen"/>
      <selection pane="bottomLeft" activeCell="G33" sqref="G33"/>
    </sheetView>
  </sheetViews>
  <sheetFormatPr defaultColWidth="8.44140625" defaultRowHeight="14.4" x14ac:dyDescent="0.3"/>
  <cols>
    <col min="1" max="1" width="12" customWidth="1"/>
    <col min="2" max="2" width="30" customWidth="1"/>
    <col min="3" max="3" width="12" customWidth="1"/>
    <col min="4" max="4" width="78" customWidth="1"/>
    <col min="5" max="5" width="8" customWidth="1"/>
    <col min="6" max="6" width="16" customWidth="1"/>
    <col min="7" max="7" width="70" customWidth="1"/>
    <col min="8" max="8" width="55" customWidth="1"/>
  </cols>
  <sheetData>
    <row r="1" spans="1:8" ht="27.9" customHeight="1" x14ac:dyDescent="0.3">
      <c r="A1" s="12" t="s">
        <v>101</v>
      </c>
      <c r="B1" s="12" t="s">
        <v>102</v>
      </c>
      <c r="C1" s="12" t="s">
        <v>103</v>
      </c>
      <c r="D1" s="12" t="s">
        <v>104</v>
      </c>
      <c r="E1" s="12" t="s">
        <v>105</v>
      </c>
      <c r="F1" s="12" t="s">
        <v>106</v>
      </c>
      <c r="G1" s="12" t="s">
        <v>107</v>
      </c>
      <c r="H1" s="12" t="s">
        <v>108</v>
      </c>
    </row>
    <row r="2" spans="1:8" ht="18" customHeight="1" x14ac:dyDescent="0.3">
      <c r="A2" s="19" t="s">
        <v>469</v>
      </c>
      <c r="B2" s="19" t="s">
        <v>470</v>
      </c>
      <c r="C2" s="19"/>
      <c r="D2" s="19"/>
      <c r="E2" s="19"/>
      <c r="F2" s="19"/>
      <c r="G2" s="19"/>
      <c r="H2" s="19"/>
    </row>
    <row r="3" spans="1:8" ht="60" customHeight="1" x14ac:dyDescent="0.3">
      <c r="A3" s="20" t="s">
        <v>469</v>
      </c>
      <c r="B3" s="20" t="s">
        <v>470</v>
      </c>
      <c r="C3" s="20" t="s">
        <v>471</v>
      </c>
      <c r="D3" s="20" t="s">
        <v>472</v>
      </c>
      <c r="E3" s="25">
        <v>1</v>
      </c>
      <c r="F3" s="24" t="s">
        <v>23</v>
      </c>
      <c r="G3" s="20" t="s">
        <v>473</v>
      </c>
      <c r="H3" s="20" t="s">
        <v>474</v>
      </c>
    </row>
    <row r="4" spans="1:8" ht="45" customHeight="1" x14ac:dyDescent="0.3">
      <c r="A4" s="23" t="s">
        <v>469</v>
      </c>
      <c r="B4" s="23" t="s">
        <v>470</v>
      </c>
      <c r="C4" s="23" t="s">
        <v>475</v>
      </c>
      <c r="D4" s="23" t="s">
        <v>476</v>
      </c>
      <c r="E4" s="29">
        <v>2</v>
      </c>
      <c r="F4" s="28" t="s">
        <v>27</v>
      </c>
      <c r="G4" s="23" t="s">
        <v>477</v>
      </c>
      <c r="H4" s="23" t="s">
        <v>478</v>
      </c>
    </row>
    <row r="5" spans="1:8" ht="45" customHeight="1" x14ac:dyDescent="0.3">
      <c r="A5" s="30" t="s">
        <v>469</v>
      </c>
      <c r="B5" s="30" t="s">
        <v>470</v>
      </c>
      <c r="C5" s="30" t="s">
        <v>479</v>
      </c>
      <c r="D5" s="30" t="s">
        <v>480</v>
      </c>
      <c r="E5" s="29">
        <v>2</v>
      </c>
      <c r="F5" s="26" t="s">
        <v>25</v>
      </c>
      <c r="G5" s="30" t="s">
        <v>481</v>
      </c>
      <c r="H5" s="30" t="s">
        <v>482</v>
      </c>
    </row>
    <row r="6" spans="1:8" ht="18" customHeight="1" x14ac:dyDescent="0.3">
      <c r="A6" s="19" t="s">
        <v>483</v>
      </c>
      <c r="B6" s="19" t="s">
        <v>484</v>
      </c>
      <c r="C6" s="19"/>
      <c r="D6" s="19"/>
      <c r="E6" s="19"/>
      <c r="F6" s="19"/>
      <c r="G6" s="19"/>
      <c r="H6" s="19"/>
    </row>
    <row r="7" spans="1:8" ht="45" customHeight="1" x14ac:dyDescent="0.3">
      <c r="A7" s="20" t="s">
        <v>483</v>
      </c>
      <c r="B7" s="20" t="s">
        <v>484</v>
      </c>
      <c r="C7" s="20" t="s">
        <v>485</v>
      </c>
      <c r="D7" s="20" t="s">
        <v>486</v>
      </c>
      <c r="E7" s="25">
        <v>1</v>
      </c>
      <c r="F7" s="22" t="s">
        <v>21</v>
      </c>
      <c r="G7" s="20" t="s">
        <v>487</v>
      </c>
      <c r="H7" s="20" t="s">
        <v>488</v>
      </c>
    </row>
    <row r="8" spans="1:8" ht="45" customHeight="1" x14ac:dyDescent="0.3">
      <c r="A8" s="23" t="s">
        <v>483</v>
      </c>
      <c r="B8" s="23" t="s">
        <v>484</v>
      </c>
      <c r="C8" s="23" t="s">
        <v>489</v>
      </c>
      <c r="D8" s="23" t="s">
        <v>490</v>
      </c>
      <c r="E8" s="25">
        <v>1</v>
      </c>
      <c r="F8" s="28" t="s">
        <v>27</v>
      </c>
      <c r="G8" s="20" t="s">
        <v>491</v>
      </c>
      <c r="H8" s="20" t="s">
        <v>492</v>
      </c>
    </row>
    <row r="9" spans="1:8" ht="45" customHeight="1" x14ac:dyDescent="0.3">
      <c r="A9" s="20" t="s">
        <v>483</v>
      </c>
      <c r="B9" s="20" t="s">
        <v>484</v>
      </c>
      <c r="C9" s="20" t="s">
        <v>493</v>
      </c>
      <c r="D9" s="20" t="s">
        <v>494</v>
      </c>
      <c r="E9" s="25">
        <v>1</v>
      </c>
      <c r="F9" s="28" t="s">
        <v>27</v>
      </c>
      <c r="G9" s="20" t="s">
        <v>491</v>
      </c>
      <c r="H9" s="20" t="s">
        <v>495</v>
      </c>
    </row>
    <row r="10" spans="1:8" ht="45" customHeight="1" x14ac:dyDescent="0.3">
      <c r="A10" s="23" t="s">
        <v>483</v>
      </c>
      <c r="B10" s="23" t="s">
        <v>484</v>
      </c>
      <c r="C10" s="23" t="s">
        <v>496</v>
      </c>
      <c r="D10" s="23" t="s">
        <v>497</v>
      </c>
      <c r="E10" s="25">
        <v>1</v>
      </c>
      <c r="F10" s="28" t="s">
        <v>27</v>
      </c>
      <c r="G10" s="20" t="s">
        <v>491</v>
      </c>
      <c r="H10" s="20" t="s">
        <v>498</v>
      </c>
    </row>
    <row r="11" spans="1:8" ht="45" customHeight="1" x14ac:dyDescent="0.3">
      <c r="A11" s="20" t="s">
        <v>483</v>
      </c>
      <c r="B11" s="20" t="s">
        <v>484</v>
      </c>
      <c r="C11" s="20" t="s">
        <v>499</v>
      </c>
      <c r="D11" s="20" t="s">
        <v>500</v>
      </c>
      <c r="E11" s="25">
        <v>1</v>
      </c>
      <c r="F11" s="24" t="s">
        <v>23</v>
      </c>
      <c r="G11" s="20" t="s">
        <v>501</v>
      </c>
      <c r="H11" s="20" t="s">
        <v>488</v>
      </c>
    </row>
    <row r="12" spans="1:8" ht="30" customHeight="1" x14ac:dyDescent="0.3">
      <c r="A12" s="23" t="s">
        <v>483</v>
      </c>
      <c r="B12" s="23" t="s">
        <v>484</v>
      </c>
      <c r="C12" s="23" t="s">
        <v>502</v>
      </c>
      <c r="D12" s="23" t="s">
        <v>503</v>
      </c>
      <c r="E12" s="25">
        <v>1</v>
      </c>
      <c r="F12" s="26" t="s">
        <v>25</v>
      </c>
      <c r="G12" s="23" t="s">
        <v>123</v>
      </c>
      <c r="H12" s="23" t="s">
        <v>124</v>
      </c>
    </row>
    <row r="13" spans="1:8" ht="30" customHeight="1" x14ac:dyDescent="0.3">
      <c r="A13" s="20" t="s">
        <v>483</v>
      </c>
      <c r="B13" s="20" t="s">
        <v>484</v>
      </c>
      <c r="C13" s="20" t="s">
        <v>504</v>
      </c>
      <c r="D13" s="20" t="s">
        <v>505</v>
      </c>
      <c r="E13" s="25">
        <v>1</v>
      </c>
      <c r="F13" s="26" t="s">
        <v>25</v>
      </c>
      <c r="G13" s="20" t="s">
        <v>123</v>
      </c>
      <c r="H13" s="20" t="s">
        <v>124</v>
      </c>
    </row>
    <row r="14" spans="1:8" ht="45" customHeight="1" x14ac:dyDescent="0.3">
      <c r="A14" s="23" t="s">
        <v>483</v>
      </c>
      <c r="B14" s="23" t="s">
        <v>484</v>
      </c>
      <c r="C14" s="23" t="s">
        <v>506</v>
      </c>
      <c r="D14" s="23" t="s">
        <v>507</v>
      </c>
      <c r="E14" s="25">
        <v>1</v>
      </c>
      <c r="F14" s="22" t="s">
        <v>21</v>
      </c>
      <c r="G14" s="23" t="s">
        <v>508</v>
      </c>
      <c r="H14" s="23" t="s">
        <v>509</v>
      </c>
    </row>
    <row r="15" spans="1:8" ht="45" customHeight="1" x14ac:dyDescent="0.3">
      <c r="A15" s="20" t="s">
        <v>483</v>
      </c>
      <c r="B15" s="20" t="s">
        <v>484</v>
      </c>
      <c r="C15" s="20" t="s">
        <v>510</v>
      </c>
      <c r="D15" s="20" t="s">
        <v>511</v>
      </c>
      <c r="E15" s="21">
        <v>2</v>
      </c>
      <c r="F15" s="28" t="s">
        <v>27</v>
      </c>
      <c r="G15" s="23" t="s">
        <v>512</v>
      </c>
      <c r="H15" s="23" t="s">
        <v>492</v>
      </c>
    </row>
    <row r="16" spans="1:8" ht="45" customHeight="1" x14ac:dyDescent="0.3">
      <c r="A16" s="23" t="s">
        <v>483</v>
      </c>
      <c r="B16" s="23" t="s">
        <v>484</v>
      </c>
      <c r="C16" s="23" t="s">
        <v>513</v>
      </c>
      <c r="D16" s="23" t="s">
        <v>514</v>
      </c>
      <c r="E16" s="21">
        <v>2</v>
      </c>
      <c r="F16" s="28" t="s">
        <v>27</v>
      </c>
      <c r="G16" s="23" t="s">
        <v>512</v>
      </c>
      <c r="H16" s="23" t="s">
        <v>495</v>
      </c>
    </row>
    <row r="17" spans="1:8" ht="45" customHeight="1" x14ac:dyDescent="0.3">
      <c r="A17" s="20" t="s">
        <v>483</v>
      </c>
      <c r="B17" s="20" t="s">
        <v>484</v>
      </c>
      <c r="C17" s="20" t="s">
        <v>515</v>
      </c>
      <c r="D17" s="20" t="s">
        <v>516</v>
      </c>
      <c r="E17" s="21">
        <v>2</v>
      </c>
      <c r="F17" s="28" t="s">
        <v>27</v>
      </c>
      <c r="G17" s="23" t="s">
        <v>512</v>
      </c>
      <c r="H17" s="23" t="s">
        <v>498</v>
      </c>
    </row>
    <row r="18" spans="1:8" ht="45" customHeight="1" x14ac:dyDescent="0.3">
      <c r="A18" s="23" t="s">
        <v>483</v>
      </c>
      <c r="B18" s="23" t="s">
        <v>484</v>
      </c>
      <c r="C18" s="23" t="s">
        <v>517</v>
      </c>
      <c r="D18" s="23" t="s">
        <v>518</v>
      </c>
      <c r="E18" s="21">
        <v>2</v>
      </c>
      <c r="F18" s="28" t="s">
        <v>27</v>
      </c>
      <c r="G18" s="23" t="s">
        <v>512</v>
      </c>
      <c r="H18" s="23" t="s">
        <v>519</v>
      </c>
    </row>
    <row r="19" spans="1:8" ht="18" customHeight="1" x14ac:dyDescent="0.3">
      <c r="A19" s="19" t="s">
        <v>520</v>
      </c>
      <c r="B19" s="19" t="s">
        <v>521</v>
      </c>
      <c r="C19" s="19"/>
      <c r="D19" s="19"/>
      <c r="E19" s="19"/>
      <c r="F19" s="19"/>
      <c r="G19" s="19"/>
      <c r="H19" s="19"/>
    </row>
    <row r="20" spans="1:8" ht="45" customHeight="1" x14ac:dyDescent="0.3">
      <c r="A20" s="20" t="s">
        <v>520</v>
      </c>
      <c r="B20" s="20" t="s">
        <v>521</v>
      </c>
      <c r="C20" s="20" t="s">
        <v>522</v>
      </c>
      <c r="D20" s="20" t="s">
        <v>523</v>
      </c>
      <c r="E20" s="25">
        <v>1</v>
      </c>
      <c r="F20" s="24" t="s">
        <v>23</v>
      </c>
      <c r="G20" s="20" t="s">
        <v>524</v>
      </c>
      <c r="H20" s="20" t="s">
        <v>525</v>
      </c>
    </row>
    <row r="21" spans="1:8" ht="30" customHeight="1" x14ac:dyDescent="0.3">
      <c r="A21" s="23" t="s">
        <v>520</v>
      </c>
      <c r="B21" s="23" t="s">
        <v>521</v>
      </c>
      <c r="C21" s="23" t="s">
        <v>526</v>
      </c>
      <c r="D21" s="23" t="s">
        <v>527</v>
      </c>
      <c r="E21" s="25">
        <v>1</v>
      </c>
      <c r="F21" s="22" t="s">
        <v>21</v>
      </c>
      <c r="G21" s="23" t="s">
        <v>528</v>
      </c>
      <c r="H21" s="23" t="s">
        <v>529</v>
      </c>
    </row>
    <row r="22" spans="1:8" ht="105" customHeight="1" x14ac:dyDescent="0.3">
      <c r="A22" s="20" t="s">
        <v>520</v>
      </c>
      <c r="B22" s="20" t="s">
        <v>521</v>
      </c>
      <c r="C22" s="20" t="s">
        <v>530</v>
      </c>
      <c r="D22" s="20" t="s">
        <v>531</v>
      </c>
      <c r="E22" s="21">
        <v>2</v>
      </c>
      <c r="F22" s="28" t="s">
        <v>27</v>
      </c>
      <c r="G22" s="20" t="s">
        <v>532</v>
      </c>
      <c r="H22" s="20" t="s">
        <v>468</v>
      </c>
    </row>
    <row r="23" spans="1:8" ht="45" customHeight="1" x14ac:dyDescent="0.3">
      <c r="A23" s="23" t="s">
        <v>520</v>
      </c>
      <c r="B23" s="23" t="s">
        <v>521</v>
      </c>
      <c r="C23" s="23" t="s">
        <v>533</v>
      </c>
      <c r="D23" s="23" t="s">
        <v>534</v>
      </c>
      <c r="E23" s="21">
        <v>2</v>
      </c>
      <c r="F23" s="26" t="s">
        <v>25</v>
      </c>
      <c r="G23" s="23" t="s">
        <v>535</v>
      </c>
      <c r="H23" s="23" t="s">
        <v>536</v>
      </c>
    </row>
    <row r="24" spans="1:8" ht="60" customHeight="1" x14ac:dyDescent="0.3">
      <c r="A24" s="20" t="s">
        <v>520</v>
      </c>
      <c r="B24" s="20" t="s">
        <v>521</v>
      </c>
      <c r="C24" s="20" t="s">
        <v>537</v>
      </c>
      <c r="D24" s="20" t="s">
        <v>538</v>
      </c>
      <c r="E24" s="27">
        <v>3</v>
      </c>
      <c r="F24" s="28" t="s">
        <v>27</v>
      </c>
      <c r="G24" s="20" t="s">
        <v>539</v>
      </c>
      <c r="H24" s="20" t="s">
        <v>280</v>
      </c>
    </row>
    <row r="25" spans="1:8" ht="30" customHeight="1" x14ac:dyDescent="0.3">
      <c r="A25" s="23" t="s">
        <v>520</v>
      </c>
      <c r="B25" s="23" t="s">
        <v>521</v>
      </c>
      <c r="C25" s="23" t="s">
        <v>540</v>
      </c>
      <c r="D25" s="23" t="s">
        <v>541</v>
      </c>
      <c r="E25" s="27">
        <v>3</v>
      </c>
      <c r="F25" s="26" t="s">
        <v>25</v>
      </c>
      <c r="G25" s="23" t="s">
        <v>542</v>
      </c>
      <c r="H25" s="23" t="s">
        <v>543</v>
      </c>
    </row>
    <row r="26" spans="1:8" ht="45" customHeight="1" x14ac:dyDescent="0.3">
      <c r="A26" s="20" t="s">
        <v>520</v>
      </c>
      <c r="B26" s="20" t="s">
        <v>521</v>
      </c>
      <c r="C26" s="20" t="s">
        <v>544</v>
      </c>
      <c r="D26" s="20" t="s">
        <v>545</v>
      </c>
      <c r="E26" s="27">
        <v>3</v>
      </c>
      <c r="F26" s="28" t="s">
        <v>27</v>
      </c>
      <c r="G26" s="20" t="s">
        <v>539</v>
      </c>
      <c r="H26" s="20" t="s">
        <v>280</v>
      </c>
    </row>
    <row r="27" spans="1:8" ht="45" customHeight="1" x14ac:dyDescent="0.3">
      <c r="A27" s="23" t="s">
        <v>520</v>
      </c>
      <c r="B27" s="23" t="s">
        <v>521</v>
      </c>
      <c r="C27" s="23" t="s">
        <v>546</v>
      </c>
      <c r="D27" s="23" t="s">
        <v>547</v>
      </c>
      <c r="E27" s="27">
        <v>3</v>
      </c>
      <c r="F27" s="28" t="s">
        <v>27</v>
      </c>
      <c r="G27" s="23" t="s">
        <v>539</v>
      </c>
      <c r="H27" s="23" t="s">
        <v>280</v>
      </c>
    </row>
    <row r="28" spans="1:8" ht="18" customHeight="1" x14ac:dyDescent="0.3">
      <c r="A28" s="19" t="s">
        <v>548</v>
      </c>
      <c r="B28" s="19" t="s">
        <v>549</v>
      </c>
      <c r="C28" s="19"/>
      <c r="D28" s="19"/>
      <c r="E28" s="19"/>
      <c r="F28" s="19"/>
      <c r="G28" s="19"/>
      <c r="H28" s="19"/>
    </row>
    <row r="29" spans="1:8" ht="45" customHeight="1" x14ac:dyDescent="0.3">
      <c r="A29" s="20" t="s">
        <v>548</v>
      </c>
      <c r="B29" s="20" t="s">
        <v>549</v>
      </c>
      <c r="C29" s="20" t="s">
        <v>550</v>
      </c>
      <c r="D29" s="20" t="s">
        <v>551</v>
      </c>
      <c r="E29" s="25">
        <v>1</v>
      </c>
      <c r="F29" s="26" t="s">
        <v>25</v>
      </c>
      <c r="G29" s="20" t="s">
        <v>552</v>
      </c>
      <c r="H29" s="20" t="s">
        <v>553</v>
      </c>
    </row>
    <row r="30" spans="1:8" ht="30" customHeight="1" x14ac:dyDescent="0.3">
      <c r="A30" s="23" t="s">
        <v>548</v>
      </c>
      <c r="B30" s="23" t="s">
        <v>549</v>
      </c>
      <c r="C30" s="23" t="s">
        <v>554</v>
      </c>
      <c r="D30" s="23" t="s">
        <v>555</v>
      </c>
      <c r="E30" s="25">
        <v>1</v>
      </c>
      <c r="F30" s="26" t="s">
        <v>25</v>
      </c>
      <c r="G30" s="23" t="s">
        <v>556</v>
      </c>
      <c r="H30" s="23" t="s">
        <v>543</v>
      </c>
    </row>
    <row r="31" spans="1:8" ht="30" customHeight="1" x14ac:dyDescent="0.3">
      <c r="A31" s="20" t="s">
        <v>548</v>
      </c>
      <c r="B31" s="20" t="s">
        <v>549</v>
      </c>
      <c r="C31" s="20" t="s">
        <v>557</v>
      </c>
      <c r="D31" s="20" t="s">
        <v>558</v>
      </c>
      <c r="E31" s="21">
        <v>2</v>
      </c>
      <c r="F31" s="28" t="s">
        <v>27</v>
      </c>
      <c r="G31" s="20" t="s">
        <v>559</v>
      </c>
      <c r="H31" s="20" t="s">
        <v>280</v>
      </c>
    </row>
    <row r="32" spans="1:8" ht="30" customHeight="1" x14ac:dyDescent="0.3">
      <c r="A32" s="23" t="s">
        <v>548</v>
      </c>
      <c r="B32" s="23" t="s">
        <v>549</v>
      </c>
      <c r="C32" s="23" t="s">
        <v>560</v>
      </c>
      <c r="D32" s="23" t="s">
        <v>561</v>
      </c>
      <c r="E32" s="21">
        <v>2</v>
      </c>
      <c r="F32" s="26" t="s">
        <v>25</v>
      </c>
      <c r="G32" s="23" t="s">
        <v>562</v>
      </c>
      <c r="H32" s="23" t="s">
        <v>543</v>
      </c>
    </row>
    <row r="33" spans="1:8" ht="45" customHeight="1" x14ac:dyDescent="0.3">
      <c r="A33" s="20" t="s">
        <v>548</v>
      </c>
      <c r="B33" s="20" t="s">
        <v>549</v>
      </c>
      <c r="C33" s="20" t="s">
        <v>563</v>
      </c>
      <c r="D33" s="20" t="s">
        <v>564</v>
      </c>
      <c r="E33" s="27">
        <v>3</v>
      </c>
      <c r="F33" s="28" t="s">
        <v>27</v>
      </c>
      <c r="G33" s="20" t="s">
        <v>562</v>
      </c>
      <c r="H33" s="20" t="s">
        <v>280</v>
      </c>
    </row>
    <row r="34" spans="1:8" ht="45" customHeight="1" x14ac:dyDescent="0.3">
      <c r="A34" s="23" t="s">
        <v>548</v>
      </c>
      <c r="B34" s="23" t="s">
        <v>549</v>
      </c>
      <c r="C34" s="23" t="s">
        <v>565</v>
      </c>
      <c r="D34" s="23" t="s">
        <v>566</v>
      </c>
      <c r="E34" s="27">
        <v>3</v>
      </c>
      <c r="F34" s="28" t="s">
        <v>27</v>
      </c>
      <c r="G34" s="23" t="s">
        <v>559</v>
      </c>
      <c r="H34" s="23" t="s">
        <v>280</v>
      </c>
    </row>
    <row r="35" spans="1:8" ht="18" customHeight="1" x14ac:dyDescent="0.3">
      <c r="A35" s="19" t="s">
        <v>567</v>
      </c>
      <c r="B35" s="19" t="s">
        <v>568</v>
      </c>
      <c r="C35" s="19"/>
      <c r="D35" s="19"/>
      <c r="E35" s="19"/>
      <c r="F35" s="19"/>
      <c r="G35" s="19"/>
      <c r="H35" s="19"/>
    </row>
    <row r="36" spans="1:8" ht="30" customHeight="1" x14ac:dyDescent="0.3">
      <c r="A36" s="20" t="s">
        <v>567</v>
      </c>
      <c r="B36" s="20" t="s">
        <v>568</v>
      </c>
      <c r="C36" s="20" t="s">
        <v>569</v>
      </c>
      <c r="D36" s="20" t="s">
        <v>570</v>
      </c>
      <c r="E36" s="21">
        <v>2</v>
      </c>
      <c r="F36" s="26" t="s">
        <v>25</v>
      </c>
      <c r="G36" s="20" t="s">
        <v>571</v>
      </c>
      <c r="H36" s="20" t="s">
        <v>572</v>
      </c>
    </row>
    <row r="37" spans="1:8" ht="60" customHeight="1" x14ac:dyDescent="0.3">
      <c r="A37" s="23" t="s">
        <v>567</v>
      </c>
      <c r="B37" s="23" t="s">
        <v>568</v>
      </c>
      <c r="C37" s="23" t="s">
        <v>573</v>
      </c>
      <c r="D37" s="23" t="s">
        <v>574</v>
      </c>
      <c r="E37" s="21">
        <v>2</v>
      </c>
      <c r="F37" s="26" t="s">
        <v>25</v>
      </c>
      <c r="G37" s="23" t="s">
        <v>571</v>
      </c>
      <c r="H37" s="23" t="s">
        <v>572</v>
      </c>
    </row>
    <row r="38" spans="1:8" ht="45" customHeight="1" x14ac:dyDescent="0.3">
      <c r="A38" s="20" t="s">
        <v>567</v>
      </c>
      <c r="B38" s="20" t="s">
        <v>568</v>
      </c>
      <c r="C38" s="20" t="s">
        <v>575</v>
      </c>
      <c r="D38" s="20" t="s">
        <v>576</v>
      </c>
      <c r="E38" s="21">
        <v>2</v>
      </c>
      <c r="F38" s="26" t="s">
        <v>25</v>
      </c>
      <c r="G38" s="20" t="s">
        <v>571</v>
      </c>
      <c r="H38" s="20" t="s">
        <v>572</v>
      </c>
    </row>
    <row r="39" spans="1:8" ht="30" customHeight="1" x14ac:dyDescent="0.3">
      <c r="A39" s="23" t="s">
        <v>567</v>
      </c>
      <c r="B39" s="23" t="s">
        <v>568</v>
      </c>
      <c r="C39" s="23" t="s">
        <v>577</v>
      </c>
      <c r="D39" s="23" t="s">
        <v>578</v>
      </c>
      <c r="E39" s="21">
        <v>2</v>
      </c>
      <c r="F39" s="26" t="s">
        <v>25</v>
      </c>
      <c r="G39" s="23" t="s">
        <v>571</v>
      </c>
      <c r="H39" s="23" t="s">
        <v>572</v>
      </c>
    </row>
    <row r="40" spans="1:8" ht="45" customHeight="1" x14ac:dyDescent="0.3">
      <c r="A40" s="20" t="s">
        <v>567</v>
      </c>
      <c r="B40" s="20" t="s">
        <v>568</v>
      </c>
      <c r="C40" s="20" t="s">
        <v>579</v>
      </c>
      <c r="D40" s="20" t="s">
        <v>580</v>
      </c>
      <c r="E40" s="21">
        <v>2</v>
      </c>
      <c r="F40" s="26" t="s">
        <v>25</v>
      </c>
      <c r="G40" s="20" t="s">
        <v>571</v>
      </c>
      <c r="H40" s="20" t="s">
        <v>572</v>
      </c>
    </row>
    <row r="41" spans="1:8" ht="30" customHeight="1" x14ac:dyDescent="0.3">
      <c r="A41" s="23" t="s">
        <v>567</v>
      </c>
      <c r="B41" s="23" t="s">
        <v>568</v>
      </c>
      <c r="C41" s="23" t="s">
        <v>581</v>
      </c>
      <c r="D41" s="23" t="s">
        <v>582</v>
      </c>
      <c r="E41" s="27">
        <v>3</v>
      </c>
      <c r="F41" s="26" t="s">
        <v>25</v>
      </c>
      <c r="G41" s="23" t="s">
        <v>571</v>
      </c>
      <c r="H41" s="23" t="s">
        <v>572</v>
      </c>
    </row>
    <row r="42" spans="1:8" ht="30" customHeight="1" x14ac:dyDescent="0.3">
      <c r="A42" s="20" t="s">
        <v>567</v>
      </c>
      <c r="B42" s="20" t="s">
        <v>568</v>
      </c>
      <c r="C42" s="20" t="s">
        <v>583</v>
      </c>
      <c r="D42" s="20" t="s">
        <v>584</v>
      </c>
      <c r="E42" s="27">
        <v>3</v>
      </c>
      <c r="F42" s="26" t="s">
        <v>25</v>
      </c>
      <c r="G42" s="20" t="s">
        <v>571</v>
      </c>
      <c r="H42" s="20" t="s">
        <v>572</v>
      </c>
    </row>
    <row r="43" spans="1:8" ht="30" customHeight="1" x14ac:dyDescent="0.3">
      <c r="A43" s="23" t="s">
        <v>567</v>
      </c>
      <c r="B43" s="23" t="s">
        <v>568</v>
      </c>
      <c r="C43" s="23" t="s">
        <v>585</v>
      </c>
      <c r="D43" s="23" t="s">
        <v>586</v>
      </c>
      <c r="E43" s="27">
        <v>3</v>
      </c>
      <c r="F43" s="26" t="s">
        <v>25</v>
      </c>
      <c r="G43" s="23" t="s">
        <v>571</v>
      </c>
      <c r="H43" s="23" t="s">
        <v>572</v>
      </c>
    </row>
    <row r="44" spans="1:8" ht="18" customHeight="1" x14ac:dyDescent="0.3">
      <c r="A44" s="19" t="s">
        <v>587</v>
      </c>
      <c r="B44" s="19" t="s">
        <v>588</v>
      </c>
      <c r="C44" s="19"/>
      <c r="D44" s="19"/>
      <c r="E44" s="19"/>
      <c r="F44" s="19"/>
      <c r="G44" s="19"/>
      <c r="H44" s="19"/>
    </row>
    <row r="45" spans="1:8" ht="75" customHeight="1" x14ac:dyDescent="0.3">
      <c r="A45" s="20" t="s">
        <v>587</v>
      </c>
      <c r="B45" s="20" t="s">
        <v>588</v>
      </c>
      <c r="C45" s="20" t="s">
        <v>589</v>
      </c>
      <c r="D45" s="20" t="s">
        <v>590</v>
      </c>
      <c r="E45" s="21">
        <v>2</v>
      </c>
      <c r="F45" s="26" t="s">
        <v>25</v>
      </c>
      <c r="G45" s="20" t="s">
        <v>571</v>
      </c>
      <c r="H45" s="20" t="s">
        <v>572</v>
      </c>
    </row>
    <row r="46" spans="1:8" ht="45" customHeight="1" x14ac:dyDescent="0.3">
      <c r="A46" s="23" t="s">
        <v>587</v>
      </c>
      <c r="B46" s="23" t="s">
        <v>588</v>
      </c>
      <c r="C46" s="23" t="s">
        <v>591</v>
      </c>
      <c r="D46" s="23" t="s">
        <v>592</v>
      </c>
      <c r="E46" s="21">
        <v>2</v>
      </c>
      <c r="F46" s="26" t="s">
        <v>25</v>
      </c>
      <c r="G46" s="23" t="s">
        <v>571</v>
      </c>
      <c r="H46" s="23" t="s">
        <v>572</v>
      </c>
    </row>
    <row r="47" spans="1:8" ht="30" customHeight="1" x14ac:dyDescent="0.3">
      <c r="A47" s="20" t="s">
        <v>587</v>
      </c>
      <c r="B47" s="20" t="s">
        <v>588</v>
      </c>
      <c r="C47" s="20" t="s">
        <v>593</v>
      </c>
      <c r="D47" s="20" t="s">
        <v>594</v>
      </c>
      <c r="E47" s="21">
        <v>2</v>
      </c>
      <c r="F47" s="26" t="s">
        <v>25</v>
      </c>
      <c r="G47" s="20" t="s">
        <v>571</v>
      </c>
      <c r="H47" s="20" t="s">
        <v>572</v>
      </c>
    </row>
    <row r="48" spans="1:8" ht="30" customHeight="1" x14ac:dyDescent="0.3">
      <c r="A48" s="23" t="s">
        <v>587</v>
      </c>
      <c r="B48" s="23" t="s">
        <v>588</v>
      </c>
      <c r="C48" s="23" t="s">
        <v>595</v>
      </c>
      <c r="D48" s="23" t="s">
        <v>596</v>
      </c>
      <c r="E48" s="27">
        <v>3</v>
      </c>
      <c r="F48" s="26" t="s">
        <v>25</v>
      </c>
      <c r="G48" s="23" t="s">
        <v>571</v>
      </c>
      <c r="H48" s="23" t="s">
        <v>572</v>
      </c>
    </row>
    <row r="49" spans="1:8" ht="18" customHeight="1" x14ac:dyDescent="0.3">
      <c r="A49" s="19" t="s">
        <v>597</v>
      </c>
      <c r="B49" s="19" t="s">
        <v>598</v>
      </c>
      <c r="C49" s="19"/>
      <c r="D49" s="19"/>
      <c r="E49" s="19"/>
      <c r="F49" s="19"/>
      <c r="G49" s="19"/>
      <c r="H49" s="19"/>
    </row>
    <row r="50" spans="1:8" ht="30" customHeight="1" x14ac:dyDescent="0.3">
      <c r="A50" s="20" t="s">
        <v>597</v>
      </c>
      <c r="B50" s="20" t="s">
        <v>598</v>
      </c>
      <c r="C50" s="20" t="s">
        <v>599</v>
      </c>
      <c r="D50" s="20" t="s">
        <v>600</v>
      </c>
      <c r="E50" s="27">
        <v>3</v>
      </c>
      <c r="F50" s="26" t="s">
        <v>25</v>
      </c>
      <c r="G50" s="20" t="s">
        <v>571</v>
      </c>
      <c r="H50" s="20" t="s">
        <v>572</v>
      </c>
    </row>
    <row r="51" spans="1:8" ht="30" customHeight="1" x14ac:dyDescent="0.3">
      <c r="A51" s="23" t="s">
        <v>597</v>
      </c>
      <c r="B51" s="23" t="s">
        <v>598</v>
      </c>
      <c r="C51" s="23" t="s">
        <v>601</v>
      </c>
      <c r="D51" s="23" t="s">
        <v>602</v>
      </c>
      <c r="E51" s="27">
        <v>3</v>
      </c>
      <c r="F51" s="26" t="s">
        <v>25</v>
      </c>
      <c r="G51" s="23" t="s">
        <v>571</v>
      </c>
      <c r="H51" s="23" t="s">
        <v>572</v>
      </c>
    </row>
    <row r="52" spans="1:8" ht="18" customHeight="1" x14ac:dyDescent="0.3">
      <c r="A52" s="19" t="s">
        <v>603</v>
      </c>
      <c r="B52" s="19" t="s">
        <v>604</v>
      </c>
      <c r="C52" s="19"/>
      <c r="D52" s="19"/>
      <c r="E52" s="19"/>
      <c r="F52" s="19"/>
      <c r="G52" s="19"/>
      <c r="H52" s="19"/>
    </row>
    <row r="53" spans="1:8" ht="60" customHeight="1" x14ac:dyDescent="0.3">
      <c r="A53" s="20" t="s">
        <v>603</v>
      </c>
      <c r="B53" s="20" t="s">
        <v>604</v>
      </c>
      <c r="C53" s="20" t="s">
        <v>605</v>
      </c>
      <c r="D53" s="20" t="s">
        <v>606</v>
      </c>
      <c r="E53" s="21">
        <v>2</v>
      </c>
      <c r="F53" s="26" t="s">
        <v>25</v>
      </c>
      <c r="G53" s="20" t="s">
        <v>571</v>
      </c>
      <c r="H53" s="20" t="s">
        <v>572</v>
      </c>
    </row>
    <row r="54" spans="1:8" ht="45" customHeight="1" x14ac:dyDescent="0.3">
      <c r="A54" s="23" t="s">
        <v>603</v>
      </c>
      <c r="B54" s="23" t="s">
        <v>604</v>
      </c>
      <c r="C54" s="23" t="s">
        <v>607</v>
      </c>
      <c r="D54" s="23" t="s">
        <v>608</v>
      </c>
      <c r="E54" s="21">
        <v>2</v>
      </c>
      <c r="F54" s="26" t="s">
        <v>25</v>
      </c>
      <c r="G54" s="23" t="s">
        <v>571</v>
      </c>
      <c r="H54" s="23" t="s">
        <v>572</v>
      </c>
    </row>
    <row r="55" spans="1:8" ht="30" customHeight="1" x14ac:dyDescent="0.3">
      <c r="A55" s="20" t="s">
        <v>603</v>
      </c>
      <c r="B55" s="20" t="s">
        <v>604</v>
      </c>
      <c r="C55" s="20" t="s">
        <v>609</v>
      </c>
      <c r="D55" s="20" t="s">
        <v>610</v>
      </c>
      <c r="E55" s="21">
        <v>2</v>
      </c>
      <c r="F55" s="26" t="s">
        <v>25</v>
      </c>
      <c r="G55" s="20" t="s">
        <v>571</v>
      </c>
      <c r="H55" s="20" t="s">
        <v>572</v>
      </c>
    </row>
    <row r="56" spans="1:8" ht="105" customHeight="1" x14ac:dyDescent="0.3">
      <c r="A56" s="23" t="s">
        <v>603</v>
      </c>
      <c r="B56" s="23" t="s">
        <v>604</v>
      </c>
      <c r="C56" s="23" t="s">
        <v>611</v>
      </c>
      <c r="D56" s="23" t="s">
        <v>612</v>
      </c>
      <c r="E56" s="21">
        <v>2</v>
      </c>
      <c r="F56" s="26" t="s">
        <v>25</v>
      </c>
      <c r="G56" s="23" t="s">
        <v>571</v>
      </c>
      <c r="H56" s="23" t="s">
        <v>572</v>
      </c>
    </row>
  </sheetData>
  <conditionalFormatting sqref="F2:F5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56" xr:uid="{00000000-0002-0000-0800-000000000000}">
      <formula1>"Not Started,In Progress,Compliant,Not Applicable"</formula1>
      <formula2>0</formula2>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6"/>
  <sheetViews>
    <sheetView zoomScale="70" zoomScaleNormal="70" workbookViewId="0">
      <pane ySplit="1" topLeftCell="A2" activePane="bottomLeft" state="frozen"/>
      <selection pane="bottomLeft" activeCell="I8" sqref="I8"/>
    </sheetView>
  </sheetViews>
  <sheetFormatPr defaultColWidth="8.44140625" defaultRowHeight="14.4" x14ac:dyDescent="0.3"/>
  <cols>
    <col min="1" max="1" width="12" customWidth="1"/>
    <col min="2" max="2" width="30" customWidth="1"/>
    <col min="3" max="3" width="12" customWidth="1"/>
    <col min="4" max="4" width="78" customWidth="1"/>
    <col min="5" max="5" width="8" customWidth="1"/>
    <col min="6" max="6" width="16" customWidth="1"/>
    <col min="7" max="7" width="70" customWidth="1"/>
    <col min="8" max="8" width="55" customWidth="1"/>
  </cols>
  <sheetData>
    <row r="1" spans="1:8" ht="27.9" customHeight="1" x14ac:dyDescent="0.3">
      <c r="A1" s="12" t="s">
        <v>101</v>
      </c>
      <c r="B1" s="12" t="s">
        <v>102</v>
      </c>
      <c r="C1" s="12" t="s">
        <v>103</v>
      </c>
      <c r="D1" s="12" t="s">
        <v>104</v>
      </c>
      <c r="E1" s="12" t="s">
        <v>105</v>
      </c>
      <c r="F1" s="12" t="s">
        <v>106</v>
      </c>
      <c r="G1" s="12" t="s">
        <v>107</v>
      </c>
      <c r="H1" s="12" t="s">
        <v>108</v>
      </c>
    </row>
    <row r="2" spans="1:8" ht="18" customHeight="1" x14ac:dyDescent="0.3">
      <c r="A2" s="19" t="s">
        <v>613</v>
      </c>
      <c r="B2" s="19" t="s">
        <v>614</v>
      </c>
      <c r="C2" s="19"/>
      <c r="D2" s="19"/>
      <c r="E2" s="19"/>
      <c r="F2" s="19"/>
      <c r="G2" s="19"/>
      <c r="H2" s="19"/>
    </row>
    <row r="3" spans="1:8" ht="75" customHeight="1" x14ac:dyDescent="0.3">
      <c r="A3" s="20" t="s">
        <v>613</v>
      </c>
      <c r="B3" s="20" t="s">
        <v>614</v>
      </c>
      <c r="C3" s="20" t="s">
        <v>615</v>
      </c>
      <c r="D3" s="20" t="s">
        <v>616</v>
      </c>
      <c r="E3" s="21">
        <v>2</v>
      </c>
      <c r="F3" s="22" t="s">
        <v>21</v>
      </c>
      <c r="G3" s="20" t="s">
        <v>617</v>
      </c>
      <c r="H3" s="20" t="s">
        <v>618</v>
      </c>
    </row>
    <row r="4" spans="1:8" ht="60" customHeight="1" x14ac:dyDescent="0.3">
      <c r="A4" s="23" t="s">
        <v>613</v>
      </c>
      <c r="B4" s="23" t="s">
        <v>614</v>
      </c>
      <c r="C4" s="23" t="s">
        <v>619</v>
      </c>
      <c r="D4" s="23" t="s">
        <v>620</v>
      </c>
      <c r="E4" s="21">
        <v>2</v>
      </c>
      <c r="F4" s="28" t="s">
        <v>27</v>
      </c>
      <c r="G4" s="23" t="s">
        <v>621</v>
      </c>
      <c r="H4" s="23" t="s">
        <v>280</v>
      </c>
    </row>
    <row r="5" spans="1:8" ht="75" customHeight="1" x14ac:dyDescent="0.3">
      <c r="A5" s="20" t="s">
        <v>613</v>
      </c>
      <c r="B5" s="20" t="s">
        <v>614</v>
      </c>
      <c r="C5" s="20" t="s">
        <v>622</v>
      </c>
      <c r="D5" s="20" t="s">
        <v>623</v>
      </c>
      <c r="E5" s="21">
        <v>2</v>
      </c>
      <c r="F5" s="26" t="s">
        <v>25</v>
      </c>
      <c r="G5" s="20" t="s">
        <v>624</v>
      </c>
      <c r="H5" s="20" t="s">
        <v>625</v>
      </c>
    </row>
    <row r="6" spans="1:8" ht="18" customHeight="1" x14ac:dyDescent="0.3">
      <c r="A6" s="19" t="s">
        <v>626</v>
      </c>
      <c r="B6" s="19" t="s">
        <v>627</v>
      </c>
      <c r="C6" s="19"/>
      <c r="D6" s="19"/>
      <c r="E6" s="19"/>
      <c r="F6" s="19"/>
      <c r="G6" s="19"/>
      <c r="H6" s="19"/>
    </row>
    <row r="7" spans="1:8" ht="45" customHeight="1" x14ac:dyDescent="0.3">
      <c r="A7" s="20" t="s">
        <v>626</v>
      </c>
      <c r="B7" s="20" t="s">
        <v>627</v>
      </c>
      <c r="C7" s="20" t="s">
        <v>628</v>
      </c>
      <c r="D7" s="20" t="s">
        <v>629</v>
      </c>
      <c r="E7" s="25">
        <v>1</v>
      </c>
      <c r="F7" s="22" t="s">
        <v>21</v>
      </c>
      <c r="G7" s="20" t="s">
        <v>630</v>
      </c>
      <c r="H7" s="20" t="s">
        <v>631</v>
      </c>
    </row>
    <row r="8" spans="1:8" ht="45" customHeight="1" x14ac:dyDescent="0.3">
      <c r="A8" s="23" t="s">
        <v>626</v>
      </c>
      <c r="B8" s="23" t="s">
        <v>627</v>
      </c>
      <c r="C8" s="23" t="s">
        <v>632</v>
      </c>
      <c r="D8" s="23" t="s">
        <v>633</v>
      </c>
      <c r="E8" s="25">
        <v>1</v>
      </c>
      <c r="F8" s="22" t="s">
        <v>21</v>
      </c>
      <c r="G8" s="23" t="s">
        <v>634</v>
      </c>
      <c r="H8" s="23" t="s">
        <v>635</v>
      </c>
    </row>
    <row r="9" spans="1:8" ht="60" customHeight="1" x14ac:dyDescent="0.3">
      <c r="A9" s="20" t="s">
        <v>626</v>
      </c>
      <c r="B9" s="20" t="s">
        <v>627</v>
      </c>
      <c r="C9" s="20" t="s">
        <v>636</v>
      </c>
      <c r="D9" s="20" t="s">
        <v>637</v>
      </c>
      <c r="E9" s="25">
        <v>1</v>
      </c>
      <c r="F9" s="26" t="s">
        <v>25</v>
      </c>
      <c r="G9" s="20" t="s">
        <v>638</v>
      </c>
      <c r="H9" s="20" t="s">
        <v>639</v>
      </c>
    </row>
    <row r="10" spans="1:8" ht="45" customHeight="1" x14ac:dyDescent="0.3">
      <c r="A10" s="23" t="s">
        <v>626</v>
      </c>
      <c r="B10" s="23" t="s">
        <v>627</v>
      </c>
      <c r="C10" s="23" t="s">
        <v>640</v>
      </c>
      <c r="D10" s="23" t="s">
        <v>641</v>
      </c>
      <c r="E10" s="25">
        <v>1</v>
      </c>
      <c r="F10" s="22" t="s">
        <v>21</v>
      </c>
      <c r="G10" s="23" t="s">
        <v>642</v>
      </c>
      <c r="H10" s="23" t="s">
        <v>643</v>
      </c>
    </row>
    <row r="11" spans="1:8" ht="18" customHeight="1" x14ac:dyDescent="0.3">
      <c r="A11" s="19" t="s">
        <v>644</v>
      </c>
      <c r="B11" s="19" t="s">
        <v>645</v>
      </c>
      <c r="C11" s="19"/>
      <c r="D11" s="19"/>
      <c r="E11" s="19"/>
      <c r="F11" s="19"/>
      <c r="G11" s="19"/>
      <c r="H11" s="19"/>
    </row>
    <row r="12" spans="1:8" ht="45" customHeight="1" x14ac:dyDescent="0.3">
      <c r="A12" s="20" t="s">
        <v>644</v>
      </c>
      <c r="B12" s="20" t="s">
        <v>645</v>
      </c>
      <c r="C12" s="20" t="s">
        <v>646</v>
      </c>
      <c r="D12" s="20" t="s">
        <v>647</v>
      </c>
      <c r="E12" s="21">
        <v>2</v>
      </c>
      <c r="F12" s="24" t="s">
        <v>23</v>
      </c>
      <c r="G12" s="20" t="s">
        <v>648</v>
      </c>
      <c r="H12" s="20" t="s">
        <v>649</v>
      </c>
    </row>
    <row r="13" spans="1:8" ht="45" customHeight="1" x14ac:dyDescent="0.3">
      <c r="A13" s="23" t="s">
        <v>644</v>
      </c>
      <c r="B13" s="23" t="s">
        <v>645</v>
      </c>
      <c r="C13" s="23" t="s">
        <v>650</v>
      </c>
      <c r="D13" s="23" t="s">
        <v>651</v>
      </c>
      <c r="E13" s="21">
        <v>2</v>
      </c>
      <c r="F13" s="22" t="s">
        <v>21</v>
      </c>
      <c r="G13" s="23" t="s">
        <v>652</v>
      </c>
      <c r="H13" s="23" t="s">
        <v>639</v>
      </c>
    </row>
    <row r="14" spans="1:8" ht="18" customHeight="1" x14ac:dyDescent="0.3">
      <c r="A14" s="19" t="s">
        <v>653</v>
      </c>
      <c r="B14" s="19" t="s">
        <v>654</v>
      </c>
      <c r="C14" s="19"/>
      <c r="D14" s="19"/>
      <c r="E14" s="19"/>
      <c r="F14" s="19"/>
      <c r="G14" s="19"/>
      <c r="H14" s="19"/>
    </row>
    <row r="15" spans="1:8" ht="120" customHeight="1" x14ac:dyDescent="0.3">
      <c r="A15" s="20" t="s">
        <v>653</v>
      </c>
      <c r="B15" s="20" t="s">
        <v>654</v>
      </c>
      <c r="C15" s="20" t="s">
        <v>655</v>
      </c>
      <c r="D15" s="20" t="s">
        <v>656</v>
      </c>
      <c r="E15" s="25">
        <v>1</v>
      </c>
      <c r="F15" s="24" t="s">
        <v>23</v>
      </c>
      <c r="G15" s="20" t="s">
        <v>657</v>
      </c>
      <c r="H15" s="20" t="s">
        <v>658</v>
      </c>
    </row>
    <row r="16" spans="1:8" ht="45" customHeight="1" x14ac:dyDescent="0.3">
      <c r="A16" s="23" t="s">
        <v>653</v>
      </c>
      <c r="B16" s="23" t="s">
        <v>654</v>
      </c>
      <c r="C16" s="23" t="s">
        <v>659</v>
      </c>
      <c r="D16" s="23" t="s">
        <v>660</v>
      </c>
      <c r="E16" s="25">
        <v>1</v>
      </c>
      <c r="F16" s="28" t="s">
        <v>27</v>
      </c>
      <c r="G16" s="23" t="s">
        <v>661</v>
      </c>
      <c r="H16" s="23" t="s">
        <v>280</v>
      </c>
    </row>
    <row r="17" spans="1:8" ht="60" customHeight="1" x14ac:dyDescent="0.3">
      <c r="A17" s="20" t="s">
        <v>653</v>
      </c>
      <c r="B17" s="20" t="s">
        <v>654</v>
      </c>
      <c r="C17" s="20" t="s">
        <v>662</v>
      </c>
      <c r="D17" s="20" t="s">
        <v>663</v>
      </c>
      <c r="E17" s="21">
        <v>2</v>
      </c>
      <c r="F17" s="28" t="s">
        <v>27</v>
      </c>
      <c r="G17" s="20" t="s">
        <v>664</v>
      </c>
      <c r="H17" s="20" t="s">
        <v>280</v>
      </c>
    </row>
    <row r="18" spans="1:8" ht="30" customHeight="1" x14ac:dyDescent="0.3">
      <c r="A18" s="23" t="s">
        <v>653</v>
      </c>
      <c r="B18" s="23" t="s">
        <v>654</v>
      </c>
      <c r="C18" s="23" t="s">
        <v>665</v>
      </c>
      <c r="D18" s="23" t="s">
        <v>666</v>
      </c>
      <c r="E18" s="21">
        <v>2</v>
      </c>
      <c r="F18" s="26" t="s">
        <v>25</v>
      </c>
      <c r="G18" s="23" t="s">
        <v>123</v>
      </c>
      <c r="H18" s="23" t="s">
        <v>124</v>
      </c>
    </row>
    <row r="19" spans="1:8" ht="45" customHeight="1" x14ac:dyDescent="0.3">
      <c r="A19" s="20" t="s">
        <v>653</v>
      </c>
      <c r="B19" s="20" t="s">
        <v>654</v>
      </c>
      <c r="C19" s="20" t="s">
        <v>667</v>
      </c>
      <c r="D19" s="20" t="s">
        <v>668</v>
      </c>
      <c r="E19" s="21">
        <v>2</v>
      </c>
      <c r="F19" s="28" t="s">
        <v>27</v>
      </c>
      <c r="G19" s="20" t="s">
        <v>669</v>
      </c>
      <c r="H19" s="20" t="s">
        <v>280</v>
      </c>
    </row>
    <row r="20" spans="1:8" ht="18" customHeight="1" x14ac:dyDescent="0.3">
      <c r="A20" s="19" t="s">
        <v>670</v>
      </c>
      <c r="B20" s="19" t="s">
        <v>671</v>
      </c>
      <c r="C20" s="19"/>
      <c r="D20" s="19"/>
      <c r="E20" s="19"/>
      <c r="F20" s="19"/>
      <c r="G20" s="19"/>
      <c r="H20" s="19"/>
    </row>
    <row r="21" spans="1:8" ht="60" customHeight="1" x14ac:dyDescent="0.3">
      <c r="A21" s="20" t="s">
        <v>670</v>
      </c>
      <c r="B21" s="20" t="s">
        <v>671</v>
      </c>
      <c r="C21" s="20" t="s">
        <v>672</v>
      </c>
      <c r="D21" s="20" t="s">
        <v>673</v>
      </c>
      <c r="E21" s="21">
        <v>2</v>
      </c>
      <c r="F21" s="28" t="s">
        <v>27</v>
      </c>
      <c r="G21" s="20" t="s">
        <v>674</v>
      </c>
      <c r="H21" s="20" t="s">
        <v>280</v>
      </c>
    </row>
    <row r="22" spans="1:8" ht="45" customHeight="1" x14ac:dyDescent="0.3">
      <c r="A22" s="23" t="s">
        <v>670</v>
      </c>
      <c r="B22" s="23" t="s">
        <v>671</v>
      </c>
      <c r="C22" s="23" t="s">
        <v>675</v>
      </c>
      <c r="D22" s="23" t="s">
        <v>676</v>
      </c>
      <c r="E22" s="21">
        <v>2</v>
      </c>
      <c r="F22" s="28" t="s">
        <v>27</v>
      </c>
      <c r="G22" s="23" t="s">
        <v>674</v>
      </c>
      <c r="H22" s="23" t="s">
        <v>280</v>
      </c>
    </row>
    <row r="23" spans="1:8" ht="45" customHeight="1" x14ac:dyDescent="0.3">
      <c r="A23" s="20" t="s">
        <v>670</v>
      </c>
      <c r="B23" s="20" t="s">
        <v>671</v>
      </c>
      <c r="C23" s="20" t="s">
        <v>677</v>
      </c>
      <c r="D23" s="20" t="s">
        <v>678</v>
      </c>
      <c r="E23" s="27">
        <v>3</v>
      </c>
      <c r="F23" s="28" t="s">
        <v>27</v>
      </c>
      <c r="G23" s="20" t="s">
        <v>674</v>
      </c>
      <c r="H23" s="20" t="s">
        <v>280</v>
      </c>
    </row>
    <row r="24" spans="1:8" ht="18" customHeight="1" x14ac:dyDescent="0.3">
      <c r="A24" s="19" t="s">
        <v>679</v>
      </c>
      <c r="B24" s="19" t="s">
        <v>680</v>
      </c>
      <c r="C24" s="19"/>
      <c r="D24" s="19"/>
      <c r="E24" s="19"/>
      <c r="F24" s="19"/>
      <c r="G24" s="19"/>
      <c r="H24" s="19"/>
    </row>
    <row r="25" spans="1:8" ht="75" customHeight="1" x14ac:dyDescent="0.3">
      <c r="A25" s="20" t="s">
        <v>679</v>
      </c>
      <c r="B25" s="20" t="s">
        <v>680</v>
      </c>
      <c r="C25" s="20" t="s">
        <v>681</v>
      </c>
      <c r="D25" s="20" t="s">
        <v>682</v>
      </c>
      <c r="E25" s="21">
        <v>2</v>
      </c>
      <c r="F25" s="26" t="s">
        <v>25</v>
      </c>
      <c r="G25" s="20" t="s">
        <v>624</v>
      </c>
      <c r="H25" s="20" t="s">
        <v>625</v>
      </c>
    </row>
    <row r="26" spans="1:8" ht="45" customHeight="1" x14ac:dyDescent="0.3">
      <c r="A26" s="23" t="s">
        <v>679</v>
      </c>
      <c r="B26" s="23" t="s">
        <v>680</v>
      </c>
      <c r="C26" s="23" t="s">
        <v>683</v>
      </c>
      <c r="D26" s="23" t="s">
        <v>684</v>
      </c>
      <c r="E26" s="21">
        <v>2</v>
      </c>
      <c r="F26" s="26" t="s">
        <v>25</v>
      </c>
      <c r="G26" s="23" t="s">
        <v>624</v>
      </c>
      <c r="H26" s="23" t="s">
        <v>625</v>
      </c>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900-000000000000}">
      <formula1>"Not Started,In Progress,Compliant,Not Applicable"</formula1>
      <formula2>0</formula2>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8"/>
  <sheetViews>
    <sheetView topLeftCell="A11" zoomScale="80" zoomScaleNormal="80" workbookViewId="0">
      <pane ySplit="1" topLeftCell="A12" activePane="bottomLeft" state="frozen"/>
      <selection pane="bottomLeft" activeCell="H8" sqref="H8"/>
    </sheetView>
  </sheetViews>
  <sheetFormatPr defaultColWidth="8.44140625" defaultRowHeight="14.4" x14ac:dyDescent="0.3"/>
  <cols>
    <col min="1" max="1" width="12" customWidth="1"/>
    <col min="2" max="2" width="30" customWidth="1"/>
    <col min="3" max="3" width="12" customWidth="1"/>
    <col min="4" max="4" width="78" customWidth="1"/>
    <col min="5" max="5" width="8" customWidth="1"/>
    <col min="6" max="6" width="16" customWidth="1"/>
    <col min="7" max="7" width="70" customWidth="1"/>
    <col min="8" max="8" width="55" customWidth="1"/>
  </cols>
  <sheetData>
    <row r="1" spans="1:8" ht="27.9" customHeight="1" x14ac:dyDescent="0.3">
      <c r="A1" s="12" t="s">
        <v>101</v>
      </c>
      <c r="B1" s="12" t="s">
        <v>102</v>
      </c>
      <c r="C1" s="12" t="s">
        <v>103</v>
      </c>
      <c r="D1" s="12" t="s">
        <v>104</v>
      </c>
      <c r="E1" s="12" t="s">
        <v>105</v>
      </c>
      <c r="F1" s="12" t="s">
        <v>106</v>
      </c>
      <c r="G1" s="12" t="s">
        <v>107</v>
      </c>
      <c r="H1" s="12" t="s">
        <v>108</v>
      </c>
    </row>
    <row r="2" spans="1:8" ht="18" customHeight="1" x14ac:dyDescent="0.3">
      <c r="A2" s="19" t="s">
        <v>685</v>
      </c>
      <c r="B2" s="19" t="s">
        <v>686</v>
      </c>
      <c r="C2" s="19"/>
      <c r="D2" s="19"/>
      <c r="E2" s="19"/>
      <c r="F2" s="19"/>
      <c r="G2" s="19"/>
      <c r="H2" s="19"/>
    </row>
    <row r="3" spans="1:8" ht="75.75" customHeight="1" x14ac:dyDescent="0.3">
      <c r="A3" s="20" t="s">
        <v>685</v>
      </c>
      <c r="B3" s="20" t="s">
        <v>686</v>
      </c>
      <c r="C3" s="20" t="s">
        <v>687</v>
      </c>
      <c r="D3" s="20" t="s">
        <v>688</v>
      </c>
      <c r="E3" s="25">
        <v>1</v>
      </c>
      <c r="F3" s="22" t="s">
        <v>21</v>
      </c>
      <c r="G3" s="20" t="s">
        <v>689</v>
      </c>
      <c r="H3" s="20" t="s">
        <v>690</v>
      </c>
    </row>
    <row r="4" spans="1:8" ht="75" customHeight="1" x14ac:dyDescent="0.3">
      <c r="A4" s="23" t="s">
        <v>685</v>
      </c>
      <c r="B4" s="23" t="s">
        <v>686</v>
      </c>
      <c r="C4" s="23" t="s">
        <v>691</v>
      </c>
      <c r="D4" s="23" t="s">
        <v>692</v>
      </c>
      <c r="E4" s="21">
        <v>2</v>
      </c>
      <c r="F4" s="24" t="s">
        <v>23</v>
      </c>
      <c r="G4" s="23" t="s">
        <v>693</v>
      </c>
      <c r="H4" s="23" t="s">
        <v>694</v>
      </c>
    </row>
    <row r="5" spans="1:8" ht="30" customHeight="1" x14ac:dyDescent="0.3">
      <c r="A5" s="20" t="s">
        <v>685</v>
      </c>
      <c r="B5" s="20" t="s">
        <v>686</v>
      </c>
      <c r="C5" s="20" t="s">
        <v>695</v>
      </c>
      <c r="D5" s="20" t="s">
        <v>696</v>
      </c>
      <c r="E5" s="27">
        <v>3</v>
      </c>
      <c r="F5" s="26" t="s">
        <v>25</v>
      </c>
      <c r="G5" s="20" t="s">
        <v>697</v>
      </c>
      <c r="H5" s="20" t="s">
        <v>698</v>
      </c>
    </row>
    <row r="6" spans="1:8" ht="30" customHeight="1" x14ac:dyDescent="0.3">
      <c r="A6" s="23" t="s">
        <v>685</v>
      </c>
      <c r="B6" s="23" t="s">
        <v>686</v>
      </c>
      <c r="C6" s="23" t="s">
        <v>699</v>
      </c>
      <c r="D6" s="23" t="s">
        <v>700</v>
      </c>
      <c r="E6" s="27">
        <v>3</v>
      </c>
      <c r="F6" s="26" t="s">
        <v>25</v>
      </c>
      <c r="G6" s="23" t="s">
        <v>697</v>
      </c>
      <c r="H6" s="23" t="s">
        <v>698</v>
      </c>
    </row>
    <row r="7" spans="1:8" ht="18" customHeight="1" x14ac:dyDescent="0.3">
      <c r="A7" s="19" t="s">
        <v>701</v>
      </c>
      <c r="B7" s="19" t="s">
        <v>702</v>
      </c>
      <c r="C7" s="19"/>
      <c r="D7" s="19"/>
      <c r="E7" s="19"/>
      <c r="F7" s="19"/>
      <c r="G7" s="19"/>
      <c r="H7" s="19"/>
    </row>
    <row r="8" spans="1:8" ht="78" customHeight="1" x14ac:dyDescent="0.3">
      <c r="A8" s="20" t="s">
        <v>701</v>
      </c>
      <c r="B8" s="20" t="s">
        <v>702</v>
      </c>
      <c r="C8" s="20" t="s">
        <v>703</v>
      </c>
      <c r="D8" s="20" t="s">
        <v>704</v>
      </c>
      <c r="E8" s="25">
        <v>1</v>
      </c>
      <c r="F8" s="22" t="s">
        <v>21</v>
      </c>
      <c r="G8" s="20" t="s">
        <v>705</v>
      </c>
      <c r="H8" s="20" t="s">
        <v>706</v>
      </c>
    </row>
    <row r="9" spans="1:8" ht="60" customHeight="1" x14ac:dyDescent="0.3">
      <c r="A9" s="23" t="s">
        <v>701</v>
      </c>
      <c r="B9" s="23" t="s">
        <v>702</v>
      </c>
      <c r="C9" s="23" t="s">
        <v>707</v>
      </c>
      <c r="D9" s="23" t="s">
        <v>708</v>
      </c>
      <c r="E9" s="25">
        <v>1</v>
      </c>
      <c r="F9" s="22" t="s">
        <v>21</v>
      </c>
      <c r="G9" s="23" t="s">
        <v>709</v>
      </c>
      <c r="H9" s="23" t="s">
        <v>710</v>
      </c>
    </row>
    <row r="10" spans="1:8" ht="30" customHeight="1" x14ac:dyDescent="0.3">
      <c r="A10" s="20" t="s">
        <v>701</v>
      </c>
      <c r="B10" s="20" t="s">
        <v>702</v>
      </c>
      <c r="C10" s="20" t="s">
        <v>711</v>
      </c>
      <c r="D10" s="20" t="s">
        <v>712</v>
      </c>
      <c r="E10" s="21">
        <v>2</v>
      </c>
      <c r="F10" s="28" t="s">
        <v>27</v>
      </c>
      <c r="G10" s="20" t="s">
        <v>713</v>
      </c>
      <c r="H10" s="20" t="s">
        <v>280</v>
      </c>
    </row>
    <row r="11" spans="1:8" ht="30" customHeight="1" x14ac:dyDescent="0.3">
      <c r="A11" s="23" t="s">
        <v>701</v>
      </c>
      <c r="B11" s="23" t="s">
        <v>702</v>
      </c>
      <c r="C11" s="23" t="s">
        <v>714</v>
      </c>
      <c r="D11" s="23" t="s">
        <v>715</v>
      </c>
      <c r="E11" s="27">
        <v>3</v>
      </c>
      <c r="F11" s="26" t="s">
        <v>25</v>
      </c>
      <c r="G11" s="23" t="s">
        <v>697</v>
      </c>
      <c r="H11" s="23" t="s">
        <v>698</v>
      </c>
    </row>
    <row r="12" spans="1:8" ht="18" customHeight="1" x14ac:dyDescent="0.3">
      <c r="A12" s="19" t="s">
        <v>716</v>
      </c>
      <c r="B12" s="19" t="s">
        <v>717</v>
      </c>
      <c r="C12" s="19"/>
      <c r="D12" s="19"/>
      <c r="E12" s="19"/>
      <c r="F12" s="19"/>
      <c r="G12" s="19"/>
      <c r="H12" s="19"/>
    </row>
    <row r="13" spans="1:8" ht="60" customHeight="1" x14ac:dyDescent="0.3">
      <c r="A13" s="20" t="s">
        <v>716</v>
      </c>
      <c r="B13" s="20" t="s">
        <v>717</v>
      </c>
      <c r="C13" s="20" t="s">
        <v>718</v>
      </c>
      <c r="D13" s="20" t="s">
        <v>719</v>
      </c>
      <c r="E13" s="25">
        <v>1</v>
      </c>
      <c r="F13" s="22" t="s">
        <v>21</v>
      </c>
      <c r="G13" s="20" t="s">
        <v>720</v>
      </c>
      <c r="H13" s="20" t="s">
        <v>721</v>
      </c>
    </row>
    <row r="14" spans="1:8" ht="105" customHeight="1" x14ac:dyDescent="0.3">
      <c r="A14" s="23" t="s">
        <v>716</v>
      </c>
      <c r="B14" s="23" t="s">
        <v>717</v>
      </c>
      <c r="C14" s="23" t="s">
        <v>722</v>
      </c>
      <c r="D14" s="23" t="s">
        <v>723</v>
      </c>
      <c r="E14" s="27">
        <v>3</v>
      </c>
      <c r="F14" s="28" t="s">
        <v>27</v>
      </c>
      <c r="G14" s="23" t="s">
        <v>724</v>
      </c>
      <c r="H14" s="23" t="s">
        <v>725</v>
      </c>
    </row>
    <row r="15" spans="1:8" ht="120" customHeight="1" x14ac:dyDescent="0.3">
      <c r="A15" s="20" t="s">
        <v>716</v>
      </c>
      <c r="B15" s="20" t="s">
        <v>717</v>
      </c>
      <c r="C15" s="20" t="s">
        <v>726</v>
      </c>
      <c r="D15" s="20" t="s">
        <v>727</v>
      </c>
      <c r="E15" s="27">
        <v>3</v>
      </c>
      <c r="F15" s="26" t="s">
        <v>25</v>
      </c>
      <c r="G15" s="20" t="s">
        <v>123</v>
      </c>
      <c r="H15" s="20" t="s">
        <v>124</v>
      </c>
    </row>
    <row r="16" spans="1:8" ht="18" customHeight="1" x14ac:dyDescent="0.3">
      <c r="A16" s="19" t="s">
        <v>728</v>
      </c>
      <c r="B16" s="19" t="s">
        <v>729</v>
      </c>
      <c r="C16" s="19"/>
      <c r="D16" s="19"/>
      <c r="E16" s="19"/>
      <c r="F16" s="19"/>
      <c r="G16" s="19"/>
      <c r="H16" s="19"/>
    </row>
    <row r="17" spans="1:8" ht="30" customHeight="1" x14ac:dyDescent="0.3">
      <c r="A17" s="20" t="s">
        <v>728</v>
      </c>
      <c r="B17" s="20" t="s">
        <v>729</v>
      </c>
      <c r="C17" s="20" t="s">
        <v>730</v>
      </c>
      <c r="D17" s="20" t="s">
        <v>731</v>
      </c>
      <c r="E17" s="21">
        <v>2</v>
      </c>
      <c r="F17" s="26" t="s">
        <v>25</v>
      </c>
      <c r="G17" s="20" t="s">
        <v>732</v>
      </c>
      <c r="H17" s="20" t="s">
        <v>733</v>
      </c>
    </row>
    <row r="18" spans="1:8" ht="90" customHeight="1" x14ac:dyDescent="0.3">
      <c r="A18" s="23" t="s">
        <v>728</v>
      </c>
      <c r="B18" s="23" t="s">
        <v>729</v>
      </c>
      <c r="C18" s="23" t="s">
        <v>734</v>
      </c>
      <c r="D18" s="23" t="s">
        <v>735</v>
      </c>
      <c r="E18" s="27">
        <v>3</v>
      </c>
      <c r="F18" s="28" t="s">
        <v>27</v>
      </c>
      <c r="G18" s="23" t="s">
        <v>736</v>
      </c>
      <c r="H18" s="23" t="s">
        <v>737</v>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A00-000000000000}">
      <formula1>"Not Started,In Progress,Compliant,Not Applicable"</formula1>
      <formula2>0</formula2>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0"/>
  <sheetViews>
    <sheetView topLeftCell="D1" workbookViewId="0">
      <pane ySplit="1" topLeftCell="A2" activePane="bottomLeft" state="frozen"/>
      <selection pane="bottomLeft" activeCell="F6" sqref="F6"/>
    </sheetView>
  </sheetViews>
  <sheetFormatPr defaultColWidth="8.44140625" defaultRowHeight="14.4" x14ac:dyDescent="0.3"/>
  <cols>
    <col min="1" max="1" width="12" customWidth="1"/>
    <col min="2" max="2" width="30" customWidth="1"/>
    <col min="3" max="3" width="12" customWidth="1"/>
    <col min="4" max="4" width="78" customWidth="1"/>
    <col min="5" max="5" width="8" customWidth="1"/>
    <col min="6" max="6" width="16" customWidth="1"/>
    <col min="7" max="7" width="70" customWidth="1"/>
    <col min="8" max="8" width="55" customWidth="1"/>
  </cols>
  <sheetData>
    <row r="1" spans="1:8" ht="27.9" customHeight="1" x14ac:dyDescent="0.3">
      <c r="A1" s="12" t="s">
        <v>101</v>
      </c>
      <c r="B1" s="12" t="s">
        <v>102</v>
      </c>
      <c r="C1" s="12" t="s">
        <v>103</v>
      </c>
      <c r="D1" s="12" t="s">
        <v>104</v>
      </c>
      <c r="E1" s="12" t="s">
        <v>105</v>
      </c>
      <c r="F1" s="12" t="s">
        <v>106</v>
      </c>
      <c r="G1" s="12" t="s">
        <v>107</v>
      </c>
      <c r="H1" s="12" t="s">
        <v>108</v>
      </c>
    </row>
    <row r="2" spans="1:8" ht="18" customHeight="1" x14ac:dyDescent="0.3">
      <c r="A2" s="19" t="s">
        <v>738</v>
      </c>
      <c r="B2" s="19" t="s">
        <v>739</v>
      </c>
      <c r="C2" s="19"/>
      <c r="D2" s="19"/>
      <c r="E2" s="19"/>
      <c r="F2" s="19"/>
      <c r="G2" s="19"/>
      <c r="H2" s="19"/>
    </row>
    <row r="3" spans="1:8" ht="30" customHeight="1" x14ac:dyDescent="0.3">
      <c r="A3" s="20" t="s">
        <v>738</v>
      </c>
      <c r="B3" s="20" t="s">
        <v>739</v>
      </c>
      <c r="C3" s="20" t="s">
        <v>740</v>
      </c>
      <c r="D3" s="20" t="s">
        <v>741</v>
      </c>
      <c r="E3" s="25">
        <v>1</v>
      </c>
      <c r="F3" s="22" t="s">
        <v>21</v>
      </c>
      <c r="G3" s="20" t="s">
        <v>742</v>
      </c>
      <c r="H3" s="20" t="s">
        <v>658</v>
      </c>
    </row>
    <row r="4" spans="1:8" ht="30" customHeight="1" x14ac:dyDescent="0.3">
      <c r="A4" s="23" t="s">
        <v>738</v>
      </c>
      <c r="B4" s="23" t="s">
        <v>739</v>
      </c>
      <c r="C4" s="23" t="s">
        <v>743</v>
      </c>
      <c r="D4" s="23" t="s">
        <v>744</v>
      </c>
      <c r="E4" s="25">
        <v>1</v>
      </c>
      <c r="F4" s="22" t="s">
        <v>21</v>
      </c>
      <c r="G4" s="20" t="s">
        <v>745</v>
      </c>
      <c r="H4" s="20" t="s">
        <v>639</v>
      </c>
    </row>
    <row r="5" spans="1:8" ht="30" customHeight="1" x14ac:dyDescent="0.3">
      <c r="A5" s="20" t="s">
        <v>738</v>
      </c>
      <c r="B5" s="20" t="s">
        <v>739</v>
      </c>
      <c r="C5" s="20" t="s">
        <v>746</v>
      </c>
      <c r="D5" s="20" t="s">
        <v>747</v>
      </c>
      <c r="E5" s="25">
        <v>1</v>
      </c>
      <c r="F5" s="22" t="s">
        <v>21</v>
      </c>
      <c r="G5" s="20" t="s">
        <v>748</v>
      </c>
      <c r="H5" s="20" t="s">
        <v>749</v>
      </c>
    </row>
    <row r="6" spans="1:8" ht="18" customHeight="1" x14ac:dyDescent="0.3">
      <c r="A6" s="19" t="s">
        <v>750</v>
      </c>
      <c r="B6" s="19" t="s">
        <v>751</v>
      </c>
      <c r="C6" s="19"/>
      <c r="D6" s="19"/>
      <c r="E6" s="19"/>
      <c r="F6" s="19"/>
      <c r="G6" s="19"/>
      <c r="H6" s="19"/>
    </row>
    <row r="7" spans="1:8" ht="30" customHeight="1" x14ac:dyDescent="0.3">
      <c r="A7" s="20" t="s">
        <v>750</v>
      </c>
      <c r="B7" s="20" t="s">
        <v>751</v>
      </c>
      <c r="C7" s="20" t="s">
        <v>752</v>
      </c>
      <c r="D7" s="20" t="s">
        <v>753</v>
      </c>
      <c r="E7" s="25">
        <v>1</v>
      </c>
      <c r="F7" s="22" t="s">
        <v>21</v>
      </c>
      <c r="G7" s="20" t="s">
        <v>754</v>
      </c>
      <c r="H7" s="20" t="s">
        <v>639</v>
      </c>
    </row>
    <row r="8" spans="1:8" ht="30" customHeight="1" x14ac:dyDescent="0.3">
      <c r="A8" s="23" t="s">
        <v>750</v>
      </c>
      <c r="B8" s="23" t="s">
        <v>751</v>
      </c>
      <c r="C8" s="23" t="s">
        <v>755</v>
      </c>
      <c r="D8" s="23" t="s">
        <v>756</v>
      </c>
      <c r="E8" s="21">
        <v>2</v>
      </c>
      <c r="F8" s="24" t="s">
        <v>23</v>
      </c>
      <c r="G8" s="20" t="s">
        <v>757</v>
      </c>
      <c r="H8" s="20" t="s">
        <v>639</v>
      </c>
    </row>
    <row r="9" spans="1:8" ht="30" customHeight="1" x14ac:dyDescent="0.3">
      <c r="A9" s="20" t="s">
        <v>750</v>
      </c>
      <c r="B9" s="20" t="s">
        <v>751</v>
      </c>
      <c r="C9" s="20" t="s">
        <v>758</v>
      </c>
      <c r="D9" s="20" t="s">
        <v>759</v>
      </c>
      <c r="E9" s="21">
        <v>2</v>
      </c>
      <c r="F9" s="24" t="s">
        <v>23</v>
      </c>
      <c r="G9" s="20" t="s">
        <v>760</v>
      </c>
      <c r="H9" s="20" t="s">
        <v>468</v>
      </c>
    </row>
    <row r="10" spans="1:8" ht="30" customHeight="1" x14ac:dyDescent="0.3">
      <c r="A10" s="23" t="s">
        <v>750</v>
      </c>
      <c r="B10" s="23" t="s">
        <v>751</v>
      </c>
      <c r="C10" s="23" t="s">
        <v>761</v>
      </c>
      <c r="D10" s="23" t="s">
        <v>762</v>
      </c>
      <c r="E10" s="21">
        <v>2</v>
      </c>
      <c r="F10" s="26" t="s">
        <v>25</v>
      </c>
      <c r="G10" s="20" t="s">
        <v>763</v>
      </c>
      <c r="H10" s="20" t="s">
        <v>639</v>
      </c>
    </row>
  </sheetData>
  <conditionalFormatting sqref="F2:F10">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0" xr:uid="{00000000-0002-0000-0B00-000000000000}">
      <formula1>"Not Started,In Progress,Compliant,Not Applicable"</formula1>
      <formula2>0</formula2>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44"/>
  <sheetViews>
    <sheetView topLeftCell="A30" zoomScale="70" zoomScaleNormal="70" workbookViewId="0">
      <pane ySplit="1" topLeftCell="A2" activePane="bottomLeft" state="frozen"/>
      <selection pane="bottomLeft" activeCell="J20" sqref="J20"/>
    </sheetView>
  </sheetViews>
  <sheetFormatPr defaultColWidth="8.44140625" defaultRowHeight="14.4" x14ac:dyDescent="0.3"/>
  <cols>
    <col min="1" max="1" width="12" customWidth="1"/>
    <col min="2" max="2" width="30" customWidth="1"/>
    <col min="3" max="3" width="12" customWidth="1"/>
    <col min="4" max="4" width="78" customWidth="1"/>
    <col min="5" max="5" width="8" customWidth="1"/>
    <col min="6" max="6" width="16" customWidth="1"/>
    <col min="7" max="7" width="70" customWidth="1"/>
    <col min="8" max="8" width="55" customWidth="1"/>
  </cols>
  <sheetData>
    <row r="1" spans="1:8" ht="27.9" customHeight="1" x14ac:dyDescent="0.3">
      <c r="A1" s="12" t="s">
        <v>101</v>
      </c>
      <c r="B1" s="12" t="s">
        <v>102</v>
      </c>
      <c r="C1" s="12" t="s">
        <v>103</v>
      </c>
      <c r="D1" s="12" t="s">
        <v>104</v>
      </c>
      <c r="E1" s="12" t="s">
        <v>105</v>
      </c>
      <c r="F1" s="12" t="s">
        <v>106</v>
      </c>
      <c r="G1" s="12" t="s">
        <v>107</v>
      </c>
      <c r="H1" s="12" t="s">
        <v>108</v>
      </c>
    </row>
    <row r="2" spans="1:8" ht="18" customHeight="1" x14ac:dyDescent="0.3">
      <c r="A2" s="19" t="s">
        <v>764</v>
      </c>
      <c r="B2" s="19" t="s">
        <v>765</v>
      </c>
      <c r="C2" s="19"/>
      <c r="D2" s="19"/>
      <c r="E2" s="19"/>
      <c r="F2" s="19"/>
      <c r="G2" s="19"/>
      <c r="H2" s="19"/>
    </row>
    <row r="3" spans="1:8" ht="60" customHeight="1" x14ac:dyDescent="0.3">
      <c r="A3" s="20" t="s">
        <v>764</v>
      </c>
      <c r="B3" s="20" t="s">
        <v>765</v>
      </c>
      <c r="C3" s="20" t="s">
        <v>766</v>
      </c>
      <c r="D3" s="20" t="s">
        <v>767</v>
      </c>
      <c r="E3" s="21">
        <v>2</v>
      </c>
      <c r="F3" s="26" t="s">
        <v>25</v>
      </c>
      <c r="G3" s="20" t="s">
        <v>768</v>
      </c>
      <c r="H3" s="20" t="s">
        <v>769</v>
      </c>
    </row>
    <row r="4" spans="1:8" ht="135" customHeight="1" x14ac:dyDescent="0.3">
      <c r="A4" s="23" t="s">
        <v>764</v>
      </c>
      <c r="B4" s="23" t="s">
        <v>765</v>
      </c>
      <c r="C4" s="23" t="s">
        <v>770</v>
      </c>
      <c r="D4" s="23" t="s">
        <v>771</v>
      </c>
      <c r="E4" s="21">
        <v>2</v>
      </c>
      <c r="F4" s="26" t="s">
        <v>25</v>
      </c>
      <c r="G4" s="20" t="s">
        <v>772</v>
      </c>
      <c r="H4" s="23" t="s">
        <v>773</v>
      </c>
    </row>
    <row r="5" spans="1:8" ht="18" customHeight="1" x14ac:dyDescent="0.3">
      <c r="A5" s="19" t="s">
        <v>774</v>
      </c>
      <c r="B5" s="19" t="s">
        <v>775</v>
      </c>
      <c r="C5" s="19"/>
      <c r="D5" s="19"/>
      <c r="E5" s="19"/>
      <c r="F5" s="19"/>
      <c r="G5" s="19"/>
      <c r="H5" s="19"/>
    </row>
    <row r="6" spans="1:8" ht="90" customHeight="1" x14ac:dyDescent="0.3">
      <c r="A6" s="20" t="s">
        <v>774</v>
      </c>
      <c r="B6" s="20" t="s">
        <v>775</v>
      </c>
      <c r="C6" s="20" t="s">
        <v>776</v>
      </c>
      <c r="D6" s="20" t="s">
        <v>777</v>
      </c>
      <c r="E6" s="21">
        <v>2</v>
      </c>
      <c r="F6" s="26" t="s">
        <v>25</v>
      </c>
      <c r="G6" s="20" t="s">
        <v>772</v>
      </c>
      <c r="H6" s="20" t="s">
        <v>773</v>
      </c>
    </row>
    <row r="7" spans="1:8" ht="75" customHeight="1" x14ac:dyDescent="0.3">
      <c r="A7" s="23" t="s">
        <v>774</v>
      </c>
      <c r="B7" s="23" t="s">
        <v>775</v>
      </c>
      <c r="C7" s="23" t="s">
        <v>778</v>
      </c>
      <c r="D7" s="23" t="s">
        <v>779</v>
      </c>
      <c r="E7" s="21">
        <v>2</v>
      </c>
      <c r="F7" s="26" t="s">
        <v>25</v>
      </c>
      <c r="G7" s="20" t="s">
        <v>772</v>
      </c>
      <c r="H7" s="23" t="s">
        <v>773</v>
      </c>
    </row>
    <row r="8" spans="1:8" ht="60" customHeight="1" x14ac:dyDescent="0.3">
      <c r="A8" s="20" t="s">
        <v>774</v>
      </c>
      <c r="B8" s="20" t="s">
        <v>775</v>
      </c>
      <c r="C8" s="20" t="s">
        <v>780</v>
      </c>
      <c r="D8" s="20" t="s">
        <v>781</v>
      </c>
      <c r="E8" s="27">
        <v>3</v>
      </c>
      <c r="F8" s="26" t="s">
        <v>25</v>
      </c>
      <c r="G8" s="20" t="s">
        <v>772</v>
      </c>
      <c r="H8" s="20" t="s">
        <v>773</v>
      </c>
    </row>
    <row r="9" spans="1:8" ht="18" customHeight="1" x14ac:dyDescent="0.3">
      <c r="A9" s="19" t="s">
        <v>782</v>
      </c>
      <c r="B9" s="19" t="s">
        <v>783</v>
      </c>
      <c r="C9" s="19"/>
      <c r="D9" s="19"/>
      <c r="E9" s="19"/>
      <c r="F9" s="19"/>
      <c r="G9" s="19"/>
      <c r="H9" s="19"/>
    </row>
    <row r="10" spans="1:8" ht="75" customHeight="1" x14ac:dyDescent="0.3">
      <c r="A10" s="20" t="s">
        <v>782</v>
      </c>
      <c r="B10" s="20" t="s">
        <v>783</v>
      </c>
      <c r="C10" s="20" t="s">
        <v>784</v>
      </c>
      <c r="D10" s="20" t="s">
        <v>785</v>
      </c>
      <c r="E10" s="21">
        <v>2</v>
      </c>
      <c r="F10" s="26" t="s">
        <v>25</v>
      </c>
      <c r="G10" s="20" t="s">
        <v>772</v>
      </c>
      <c r="H10" s="20" t="s">
        <v>773</v>
      </c>
    </row>
    <row r="11" spans="1:8" ht="75" customHeight="1" x14ac:dyDescent="0.3">
      <c r="A11" s="23" t="s">
        <v>782</v>
      </c>
      <c r="B11" s="23" t="s">
        <v>783</v>
      </c>
      <c r="C11" s="23" t="s">
        <v>786</v>
      </c>
      <c r="D11" s="23" t="s">
        <v>787</v>
      </c>
      <c r="E11" s="21">
        <v>2</v>
      </c>
      <c r="F11" s="26" t="s">
        <v>25</v>
      </c>
      <c r="G11" s="20" t="s">
        <v>772</v>
      </c>
      <c r="H11" s="23" t="s">
        <v>773</v>
      </c>
    </row>
    <row r="12" spans="1:8" ht="75" customHeight="1" x14ac:dyDescent="0.3">
      <c r="A12" s="20" t="s">
        <v>782</v>
      </c>
      <c r="B12" s="20" t="s">
        <v>783</v>
      </c>
      <c r="C12" s="20" t="s">
        <v>788</v>
      </c>
      <c r="D12" s="20" t="s">
        <v>789</v>
      </c>
      <c r="E12" s="21">
        <v>2</v>
      </c>
      <c r="F12" s="26" t="s">
        <v>25</v>
      </c>
      <c r="G12" s="20" t="s">
        <v>772</v>
      </c>
      <c r="H12" s="20" t="s">
        <v>773</v>
      </c>
    </row>
    <row r="13" spans="1:8" ht="75" customHeight="1" x14ac:dyDescent="0.3">
      <c r="A13" s="23" t="s">
        <v>782</v>
      </c>
      <c r="B13" s="23" t="s">
        <v>783</v>
      </c>
      <c r="C13" s="23" t="s">
        <v>790</v>
      </c>
      <c r="D13" s="23" t="s">
        <v>791</v>
      </c>
      <c r="E13" s="21">
        <v>2</v>
      </c>
      <c r="F13" s="26" t="s">
        <v>25</v>
      </c>
      <c r="G13" s="20" t="s">
        <v>772</v>
      </c>
      <c r="H13" s="23" t="s">
        <v>773</v>
      </c>
    </row>
    <row r="14" spans="1:8" ht="75" customHeight="1" x14ac:dyDescent="0.3">
      <c r="A14" s="20" t="s">
        <v>782</v>
      </c>
      <c r="B14" s="20" t="s">
        <v>783</v>
      </c>
      <c r="C14" s="20" t="s">
        <v>792</v>
      </c>
      <c r="D14" s="20" t="s">
        <v>793</v>
      </c>
      <c r="E14" s="27">
        <v>3</v>
      </c>
      <c r="F14" s="26" t="s">
        <v>25</v>
      </c>
      <c r="G14" s="20" t="s">
        <v>772</v>
      </c>
      <c r="H14" s="20" t="s">
        <v>773</v>
      </c>
    </row>
    <row r="15" spans="1:8" ht="18" customHeight="1" x14ac:dyDescent="0.3">
      <c r="A15" s="19" t="s">
        <v>794</v>
      </c>
      <c r="B15" s="19" t="s">
        <v>795</v>
      </c>
      <c r="C15" s="19"/>
      <c r="D15" s="19"/>
      <c r="E15" s="19"/>
      <c r="F15" s="19"/>
      <c r="G15" s="19"/>
      <c r="H15" s="19"/>
    </row>
    <row r="16" spans="1:8" ht="60" customHeight="1" x14ac:dyDescent="0.3">
      <c r="A16" s="20" t="s">
        <v>794</v>
      </c>
      <c r="B16" s="20" t="s">
        <v>795</v>
      </c>
      <c r="C16" s="20" t="s">
        <v>796</v>
      </c>
      <c r="D16" s="20" t="s">
        <v>797</v>
      </c>
      <c r="E16" s="25">
        <v>1</v>
      </c>
      <c r="F16" s="26" t="s">
        <v>25</v>
      </c>
      <c r="G16" s="20" t="s">
        <v>772</v>
      </c>
      <c r="H16" s="20" t="s">
        <v>773</v>
      </c>
    </row>
    <row r="17" spans="1:8" ht="90" customHeight="1" x14ac:dyDescent="0.3">
      <c r="A17" s="23" t="s">
        <v>794</v>
      </c>
      <c r="B17" s="23" t="s">
        <v>795</v>
      </c>
      <c r="C17" s="23" t="s">
        <v>798</v>
      </c>
      <c r="D17" s="23" t="s">
        <v>799</v>
      </c>
      <c r="E17" s="25">
        <v>1</v>
      </c>
      <c r="F17" s="26" t="s">
        <v>25</v>
      </c>
      <c r="G17" s="31" t="s">
        <v>772</v>
      </c>
      <c r="H17" s="23" t="s">
        <v>773</v>
      </c>
    </row>
    <row r="18" spans="1:8" ht="60" customHeight="1" x14ac:dyDescent="0.3">
      <c r="A18" s="20" t="s">
        <v>794</v>
      </c>
      <c r="B18" s="20" t="s">
        <v>795</v>
      </c>
      <c r="C18" s="20" t="s">
        <v>800</v>
      </c>
      <c r="D18" s="20" t="s">
        <v>801</v>
      </c>
      <c r="E18" s="25">
        <v>1</v>
      </c>
      <c r="F18" s="26" t="s">
        <v>25</v>
      </c>
      <c r="G18" s="20" t="s">
        <v>772</v>
      </c>
      <c r="H18" s="20" t="s">
        <v>773</v>
      </c>
    </row>
    <row r="19" spans="1:8" ht="60" customHeight="1" x14ac:dyDescent="0.3">
      <c r="A19" s="23" t="s">
        <v>794</v>
      </c>
      <c r="B19" s="23" t="s">
        <v>795</v>
      </c>
      <c r="C19" s="23" t="s">
        <v>802</v>
      </c>
      <c r="D19" s="23" t="s">
        <v>803</v>
      </c>
      <c r="E19" s="25">
        <v>1</v>
      </c>
      <c r="F19" s="26" t="s">
        <v>25</v>
      </c>
      <c r="G19" s="31" t="s">
        <v>772</v>
      </c>
      <c r="H19" s="23" t="s">
        <v>773</v>
      </c>
    </row>
    <row r="20" spans="1:8" ht="135" customHeight="1" x14ac:dyDescent="0.3">
      <c r="A20" s="20" t="s">
        <v>794</v>
      </c>
      <c r="B20" s="20" t="s">
        <v>795</v>
      </c>
      <c r="C20" s="20" t="s">
        <v>804</v>
      </c>
      <c r="D20" s="20" t="s">
        <v>805</v>
      </c>
      <c r="E20" s="25">
        <v>1</v>
      </c>
      <c r="F20" s="26" t="s">
        <v>25</v>
      </c>
      <c r="G20" s="20" t="s">
        <v>772</v>
      </c>
      <c r="H20" s="20" t="s">
        <v>773</v>
      </c>
    </row>
    <row r="21" spans="1:8" ht="105" customHeight="1" x14ac:dyDescent="0.3">
      <c r="A21" s="23" t="s">
        <v>794</v>
      </c>
      <c r="B21" s="23" t="s">
        <v>795</v>
      </c>
      <c r="C21" s="23" t="s">
        <v>806</v>
      </c>
      <c r="D21" s="23" t="s">
        <v>807</v>
      </c>
      <c r="E21" s="21">
        <v>2</v>
      </c>
      <c r="F21" s="26" t="s">
        <v>25</v>
      </c>
      <c r="G21" s="31" t="s">
        <v>772</v>
      </c>
      <c r="H21" s="23" t="s">
        <v>773</v>
      </c>
    </row>
    <row r="22" spans="1:8" ht="90" customHeight="1" x14ac:dyDescent="0.3">
      <c r="A22" s="20" t="s">
        <v>794</v>
      </c>
      <c r="B22" s="20" t="s">
        <v>795</v>
      </c>
      <c r="C22" s="20" t="s">
        <v>808</v>
      </c>
      <c r="D22" s="20" t="s">
        <v>809</v>
      </c>
      <c r="E22" s="21">
        <v>2</v>
      </c>
      <c r="F22" s="26" t="s">
        <v>25</v>
      </c>
      <c r="G22" s="20" t="s">
        <v>772</v>
      </c>
      <c r="H22" s="20" t="s">
        <v>773</v>
      </c>
    </row>
    <row r="23" spans="1:8" ht="60" customHeight="1" x14ac:dyDescent="0.3">
      <c r="A23" s="23" t="s">
        <v>794</v>
      </c>
      <c r="B23" s="23" t="s">
        <v>795</v>
      </c>
      <c r="C23" s="23" t="s">
        <v>810</v>
      </c>
      <c r="D23" s="23" t="s">
        <v>811</v>
      </c>
      <c r="E23" s="21">
        <v>2</v>
      </c>
      <c r="F23" s="26" t="s">
        <v>25</v>
      </c>
      <c r="G23" s="31" t="s">
        <v>772</v>
      </c>
      <c r="H23" s="23" t="s">
        <v>773</v>
      </c>
    </row>
    <row r="24" spans="1:8" ht="60" customHeight="1" x14ac:dyDescent="0.3">
      <c r="A24" s="20" t="s">
        <v>794</v>
      </c>
      <c r="B24" s="20" t="s">
        <v>795</v>
      </c>
      <c r="C24" s="20" t="s">
        <v>812</v>
      </c>
      <c r="D24" s="20" t="s">
        <v>813</v>
      </c>
      <c r="E24" s="21">
        <v>2</v>
      </c>
      <c r="F24" s="26" t="s">
        <v>25</v>
      </c>
      <c r="G24" s="20" t="s">
        <v>772</v>
      </c>
      <c r="H24" s="20" t="s">
        <v>773</v>
      </c>
    </row>
    <row r="25" spans="1:8" ht="60" customHeight="1" x14ac:dyDescent="0.3">
      <c r="A25" s="23" t="s">
        <v>794</v>
      </c>
      <c r="B25" s="23" t="s">
        <v>795</v>
      </c>
      <c r="C25" s="23" t="s">
        <v>814</v>
      </c>
      <c r="D25" s="23" t="s">
        <v>815</v>
      </c>
      <c r="E25" s="21">
        <v>2</v>
      </c>
      <c r="F25" s="26" t="s">
        <v>25</v>
      </c>
      <c r="G25" s="31" t="s">
        <v>772</v>
      </c>
      <c r="H25" s="23" t="s">
        <v>773</v>
      </c>
    </row>
    <row r="26" spans="1:8" ht="60" customHeight="1" x14ac:dyDescent="0.3">
      <c r="A26" s="20" t="s">
        <v>794</v>
      </c>
      <c r="B26" s="20" t="s">
        <v>795</v>
      </c>
      <c r="C26" s="20" t="s">
        <v>816</v>
      </c>
      <c r="D26" s="20" t="s">
        <v>817</v>
      </c>
      <c r="E26" s="21">
        <v>2</v>
      </c>
      <c r="F26" s="26" t="s">
        <v>25</v>
      </c>
      <c r="G26" s="20" t="s">
        <v>772</v>
      </c>
      <c r="H26" s="30" t="s">
        <v>773</v>
      </c>
    </row>
    <row r="27" spans="1:8" ht="75" customHeight="1" x14ac:dyDescent="0.3">
      <c r="A27" s="23" t="s">
        <v>794</v>
      </c>
      <c r="B27" s="23" t="s">
        <v>795</v>
      </c>
      <c r="C27" s="23" t="s">
        <v>818</v>
      </c>
      <c r="D27" s="23" t="s">
        <v>819</v>
      </c>
      <c r="E27" s="27">
        <v>3</v>
      </c>
      <c r="F27" s="26" t="s">
        <v>25</v>
      </c>
      <c r="G27" s="31" t="s">
        <v>772</v>
      </c>
      <c r="H27" s="23" t="s">
        <v>773</v>
      </c>
    </row>
    <row r="28" spans="1:8" ht="60" customHeight="1" x14ac:dyDescent="0.3">
      <c r="A28" s="20" t="s">
        <v>794</v>
      </c>
      <c r="B28" s="20" t="s">
        <v>795</v>
      </c>
      <c r="C28" s="20" t="s">
        <v>820</v>
      </c>
      <c r="D28" s="20" t="s">
        <v>821</v>
      </c>
      <c r="E28" s="27">
        <v>3</v>
      </c>
      <c r="F28" s="26" t="s">
        <v>25</v>
      </c>
      <c r="G28" s="20" t="s">
        <v>772</v>
      </c>
      <c r="H28" s="30" t="s">
        <v>773</v>
      </c>
    </row>
    <row r="29" spans="1:8" ht="60" customHeight="1" x14ac:dyDescent="0.3">
      <c r="A29" s="23" t="s">
        <v>794</v>
      </c>
      <c r="B29" s="23" t="s">
        <v>795</v>
      </c>
      <c r="C29" s="23" t="s">
        <v>822</v>
      </c>
      <c r="D29" s="23" t="s">
        <v>823</v>
      </c>
      <c r="E29" s="27">
        <v>3</v>
      </c>
      <c r="F29" s="26" t="s">
        <v>25</v>
      </c>
      <c r="G29" s="31" t="s">
        <v>772</v>
      </c>
      <c r="H29" s="23" t="s">
        <v>773</v>
      </c>
    </row>
    <row r="30" spans="1:8" ht="90" customHeight="1" x14ac:dyDescent="0.3">
      <c r="A30" s="20" t="s">
        <v>794</v>
      </c>
      <c r="B30" s="20" t="s">
        <v>795</v>
      </c>
      <c r="C30" s="20" t="s">
        <v>824</v>
      </c>
      <c r="D30" s="20" t="s">
        <v>825</v>
      </c>
      <c r="E30" s="27">
        <v>3</v>
      </c>
      <c r="F30" s="26" t="s">
        <v>25</v>
      </c>
      <c r="G30" s="20" t="s">
        <v>772</v>
      </c>
      <c r="H30" s="30" t="s">
        <v>773</v>
      </c>
    </row>
    <row r="31" spans="1:8" ht="75" customHeight="1" x14ac:dyDescent="0.3">
      <c r="A31" s="23" t="s">
        <v>794</v>
      </c>
      <c r="B31" s="23" t="s">
        <v>795</v>
      </c>
      <c r="C31" s="23" t="s">
        <v>826</v>
      </c>
      <c r="D31" s="23" t="s">
        <v>827</v>
      </c>
      <c r="E31" s="27">
        <v>3</v>
      </c>
      <c r="F31" s="26" t="s">
        <v>25</v>
      </c>
      <c r="G31" s="31" t="s">
        <v>772</v>
      </c>
      <c r="H31" s="23" t="s">
        <v>773</v>
      </c>
    </row>
    <row r="32" spans="1:8" ht="18" customHeight="1" x14ac:dyDescent="0.3">
      <c r="A32" s="19" t="s">
        <v>828</v>
      </c>
      <c r="B32" s="19" t="s">
        <v>829</v>
      </c>
      <c r="C32" s="19"/>
      <c r="D32" s="19"/>
      <c r="E32" s="19"/>
      <c r="F32" s="19"/>
      <c r="G32" s="19"/>
      <c r="H32" s="19"/>
    </row>
    <row r="33" spans="1:8" ht="90" customHeight="1" x14ac:dyDescent="0.3">
      <c r="A33" s="20" t="s">
        <v>828</v>
      </c>
      <c r="B33" s="20" t="s">
        <v>829</v>
      </c>
      <c r="C33" s="20" t="s">
        <v>830</v>
      </c>
      <c r="D33" s="20" t="s">
        <v>831</v>
      </c>
      <c r="E33" s="21">
        <v>2</v>
      </c>
      <c r="F33" s="26" t="s">
        <v>25</v>
      </c>
      <c r="G33" s="20" t="s">
        <v>772</v>
      </c>
      <c r="H33" s="20" t="s">
        <v>773</v>
      </c>
    </row>
    <row r="34" spans="1:8" ht="60" customHeight="1" x14ac:dyDescent="0.3">
      <c r="A34" s="23" t="s">
        <v>828</v>
      </c>
      <c r="B34" s="23" t="s">
        <v>829</v>
      </c>
      <c r="C34" s="23" t="s">
        <v>832</v>
      </c>
      <c r="D34" s="23" t="s">
        <v>833</v>
      </c>
      <c r="E34" s="21">
        <v>2</v>
      </c>
      <c r="F34" s="26" t="s">
        <v>25</v>
      </c>
      <c r="G34" s="31" t="s">
        <v>772</v>
      </c>
      <c r="H34" s="23" t="s">
        <v>773</v>
      </c>
    </row>
    <row r="35" spans="1:8" ht="90" customHeight="1" x14ac:dyDescent="0.3">
      <c r="A35" s="20" t="s">
        <v>828</v>
      </c>
      <c r="B35" s="20" t="s">
        <v>829</v>
      </c>
      <c r="C35" s="20" t="s">
        <v>834</v>
      </c>
      <c r="D35" s="20" t="s">
        <v>835</v>
      </c>
      <c r="E35" s="21">
        <v>2</v>
      </c>
      <c r="F35" s="26" t="s">
        <v>25</v>
      </c>
      <c r="G35" s="20" t="s">
        <v>772</v>
      </c>
      <c r="H35" s="20" t="s">
        <v>773</v>
      </c>
    </row>
    <row r="36" spans="1:8" ht="60" customHeight="1" x14ac:dyDescent="0.3">
      <c r="A36" s="23" t="s">
        <v>828</v>
      </c>
      <c r="B36" s="23" t="s">
        <v>829</v>
      </c>
      <c r="C36" s="23" t="s">
        <v>836</v>
      </c>
      <c r="D36" s="23" t="s">
        <v>837</v>
      </c>
      <c r="E36" s="21">
        <v>2</v>
      </c>
      <c r="F36" s="26" t="s">
        <v>25</v>
      </c>
      <c r="G36" s="31" t="s">
        <v>772</v>
      </c>
      <c r="H36" s="23" t="s">
        <v>773</v>
      </c>
    </row>
    <row r="37" spans="1:8" ht="105" customHeight="1" x14ac:dyDescent="0.3">
      <c r="A37" s="20" t="s">
        <v>828</v>
      </c>
      <c r="B37" s="20" t="s">
        <v>829</v>
      </c>
      <c r="C37" s="20" t="s">
        <v>838</v>
      </c>
      <c r="D37" s="20" t="s">
        <v>839</v>
      </c>
      <c r="E37" s="21">
        <v>2</v>
      </c>
      <c r="F37" s="26" t="s">
        <v>25</v>
      </c>
      <c r="G37" s="20" t="s">
        <v>772</v>
      </c>
      <c r="H37" s="20" t="s">
        <v>773</v>
      </c>
    </row>
    <row r="38" spans="1:8" ht="18" customHeight="1" x14ac:dyDescent="0.3">
      <c r="A38" s="19" t="s">
        <v>840</v>
      </c>
      <c r="B38" s="19" t="s">
        <v>841</v>
      </c>
      <c r="C38" s="19"/>
      <c r="D38" s="19"/>
      <c r="E38" s="19"/>
      <c r="F38" s="19"/>
      <c r="G38" s="19"/>
      <c r="H38" s="19"/>
    </row>
    <row r="39" spans="1:8" ht="60" customHeight="1" x14ac:dyDescent="0.3">
      <c r="A39" s="20" t="s">
        <v>840</v>
      </c>
      <c r="B39" s="20" t="s">
        <v>841</v>
      </c>
      <c r="C39" s="20" t="s">
        <v>842</v>
      </c>
      <c r="D39" s="20" t="s">
        <v>843</v>
      </c>
      <c r="E39" s="21">
        <v>2</v>
      </c>
      <c r="F39" s="26" t="s">
        <v>25</v>
      </c>
      <c r="G39" s="20" t="s">
        <v>772</v>
      </c>
      <c r="H39" s="20" t="s">
        <v>773</v>
      </c>
    </row>
    <row r="40" spans="1:8" ht="75" customHeight="1" x14ac:dyDescent="0.3">
      <c r="A40" s="23" t="s">
        <v>840</v>
      </c>
      <c r="B40" s="23" t="s">
        <v>841</v>
      </c>
      <c r="C40" s="23" t="s">
        <v>844</v>
      </c>
      <c r="D40" s="23" t="s">
        <v>845</v>
      </c>
      <c r="E40" s="21">
        <v>2</v>
      </c>
      <c r="F40" s="26" t="s">
        <v>25</v>
      </c>
      <c r="G40" s="31" t="s">
        <v>772</v>
      </c>
      <c r="H40" s="23" t="s">
        <v>773</v>
      </c>
    </row>
    <row r="41" spans="1:8" ht="18" customHeight="1" x14ac:dyDescent="0.3">
      <c r="A41" s="19" t="s">
        <v>846</v>
      </c>
      <c r="B41" s="19" t="s">
        <v>847</v>
      </c>
      <c r="C41" s="19"/>
      <c r="D41" s="19"/>
      <c r="E41" s="19"/>
      <c r="F41" s="19"/>
      <c r="G41" s="19"/>
      <c r="H41" s="19"/>
    </row>
    <row r="42" spans="1:8" ht="60" customHeight="1" x14ac:dyDescent="0.3">
      <c r="A42" s="20" t="s">
        <v>846</v>
      </c>
      <c r="B42" s="20" t="s">
        <v>847</v>
      </c>
      <c r="C42" s="20" t="s">
        <v>848</v>
      </c>
      <c r="D42" s="20" t="s">
        <v>849</v>
      </c>
      <c r="E42" s="21">
        <v>2</v>
      </c>
      <c r="F42" s="26" t="s">
        <v>25</v>
      </c>
      <c r="G42" s="20" t="s">
        <v>772</v>
      </c>
      <c r="H42" s="20" t="s">
        <v>773</v>
      </c>
    </row>
    <row r="43" spans="1:8" ht="105" customHeight="1" x14ac:dyDescent="0.3">
      <c r="A43" s="23" t="s">
        <v>846</v>
      </c>
      <c r="B43" s="23" t="s">
        <v>847</v>
      </c>
      <c r="C43" s="23" t="s">
        <v>850</v>
      </c>
      <c r="D43" s="23" t="s">
        <v>851</v>
      </c>
      <c r="E43" s="21">
        <v>2</v>
      </c>
      <c r="F43" s="26" t="s">
        <v>25</v>
      </c>
      <c r="G43" s="31" t="s">
        <v>772</v>
      </c>
      <c r="H43" s="31" t="s">
        <v>773</v>
      </c>
    </row>
    <row r="44" spans="1:8" ht="60" customHeight="1" x14ac:dyDescent="0.3">
      <c r="A44" s="20" t="s">
        <v>846</v>
      </c>
      <c r="B44" s="20" t="s">
        <v>847</v>
      </c>
      <c r="C44" s="20" t="s">
        <v>852</v>
      </c>
      <c r="D44" s="20" t="s">
        <v>853</v>
      </c>
      <c r="E44" s="21">
        <v>2</v>
      </c>
      <c r="F44" s="26" t="s">
        <v>25</v>
      </c>
      <c r="G44" s="20" t="s">
        <v>772</v>
      </c>
      <c r="H44" s="20" t="s">
        <v>773</v>
      </c>
    </row>
  </sheetData>
  <conditionalFormatting sqref="F2:F44">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44" xr:uid="{00000000-0002-0000-0C00-000000000000}">
      <formula1>"Not Started,In Progress,Compliant,Not Applicable"</formula1>
      <formula2>0</formula2>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32"/>
  <sheetViews>
    <sheetView topLeftCell="A23" zoomScale="70" zoomScaleNormal="70" workbookViewId="0">
      <pane ySplit="1" topLeftCell="A2" activePane="bottomLeft" state="frozen"/>
      <selection pane="bottomLeft" activeCell="G8" sqref="G8"/>
    </sheetView>
  </sheetViews>
  <sheetFormatPr defaultColWidth="8.44140625" defaultRowHeight="14.4" x14ac:dyDescent="0.3"/>
  <cols>
    <col min="1" max="1" width="12" customWidth="1"/>
    <col min="2" max="2" width="30" customWidth="1"/>
    <col min="3" max="3" width="12" customWidth="1"/>
    <col min="4" max="4" width="78" customWidth="1"/>
    <col min="5" max="5" width="8" customWidth="1"/>
    <col min="6" max="6" width="16" customWidth="1"/>
    <col min="7" max="7" width="70" customWidth="1"/>
    <col min="8" max="8" width="55" customWidth="1"/>
  </cols>
  <sheetData>
    <row r="1" spans="1:8" ht="27.9" customHeight="1" x14ac:dyDescent="0.3">
      <c r="A1" s="12" t="s">
        <v>101</v>
      </c>
      <c r="B1" s="12" t="s">
        <v>102</v>
      </c>
      <c r="C1" s="12" t="s">
        <v>103</v>
      </c>
      <c r="D1" s="12" t="s">
        <v>104</v>
      </c>
      <c r="E1" s="12" t="s">
        <v>105</v>
      </c>
      <c r="F1" s="12" t="s">
        <v>106</v>
      </c>
      <c r="G1" s="12" t="s">
        <v>107</v>
      </c>
      <c r="H1" s="12" t="s">
        <v>108</v>
      </c>
    </row>
    <row r="2" spans="1:8" ht="18" customHeight="1" x14ac:dyDescent="0.3">
      <c r="A2" s="19" t="s">
        <v>854</v>
      </c>
      <c r="B2" s="19" t="s">
        <v>855</v>
      </c>
      <c r="C2" s="19"/>
      <c r="D2" s="19"/>
      <c r="E2" s="19"/>
      <c r="F2" s="19"/>
      <c r="G2" s="19"/>
      <c r="H2" s="19"/>
    </row>
    <row r="3" spans="1:8" ht="90" customHeight="1" x14ac:dyDescent="0.3">
      <c r="A3" s="20" t="s">
        <v>854</v>
      </c>
      <c r="B3" s="20" t="s">
        <v>855</v>
      </c>
      <c r="C3" s="20" t="s">
        <v>856</v>
      </c>
      <c r="D3" s="20" t="s">
        <v>857</v>
      </c>
      <c r="E3" s="21">
        <v>2</v>
      </c>
      <c r="F3" s="28" t="s">
        <v>27</v>
      </c>
      <c r="G3" s="20" t="s">
        <v>858</v>
      </c>
      <c r="H3" s="20" t="s">
        <v>859</v>
      </c>
    </row>
    <row r="4" spans="1:8" ht="90" customHeight="1" x14ac:dyDescent="0.3">
      <c r="A4" s="23" t="s">
        <v>854</v>
      </c>
      <c r="B4" s="23" t="s">
        <v>855</v>
      </c>
      <c r="C4" s="23" t="s">
        <v>860</v>
      </c>
      <c r="D4" s="23" t="s">
        <v>861</v>
      </c>
      <c r="E4" s="21">
        <v>2</v>
      </c>
      <c r="F4" s="28" t="s">
        <v>27</v>
      </c>
      <c r="G4" s="23" t="s">
        <v>858</v>
      </c>
      <c r="H4" s="23" t="s">
        <v>859</v>
      </c>
    </row>
    <row r="5" spans="1:8" ht="75" customHeight="1" x14ac:dyDescent="0.3">
      <c r="A5" s="20" t="s">
        <v>854</v>
      </c>
      <c r="B5" s="20" t="s">
        <v>855</v>
      </c>
      <c r="C5" s="20" t="s">
        <v>862</v>
      </c>
      <c r="D5" s="20" t="s">
        <v>863</v>
      </c>
      <c r="E5" s="27">
        <v>3</v>
      </c>
      <c r="F5" s="28" t="s">
        <v>27</v>
      </c>
      <c r="G5" s="20" t="s">
        <v>858</v>
      </c>
      <c r="H5" s="20" t="s">
        <v>859</v>
      </c>
    </row>
    <row r="6" spans="1:8" ht="75" customHeight="1" x14ac:dyDescent="0.3">
      <c r="A6" s="23" t="s">
        <v>854</v>
      </c>
      <c r="B6" s="23" t="s">
        <v>855</v>
      </c>
      <c r="C6" s="23" t="s">
        <v>864</v>
      </c>
      <c r="D6" s="23" t="s">
        <v>865</v>
      </c>
      <c r="E6" s="27">
        <v>3</v>
      </c>
      <c r="F6" s="28" t="s">
        <v>27</v>
      </c>
      <c r="G6" s="23" t="s">
        <v>858</v>
      </c>
      <c r="H6" s="23" t="s">
        <v>859</v>
      </c>
    </row>
    <row r="7" spans="1:8" ht="18" customHeight="1" x14ac:dyDescent="0.3">
      <c r="A7" s="19" t="s">
        <v>866</v>
      </c>
      <c r="B7" s="19" t="s">
        <v>867</v>
      </c>
      <c r="C7" s="19"/>
      <c r="D7" s="19"/>
      <c r="E7" s="19"/>
      <c r="F7" s="19"/>
      <c r="G7" s="19"/>
      <c r="H7" s="19"/>
    </row>
    <row r="8" spans="1:8" ht="45" customHeight="1" x14ac:dyDescent="0.3">
      <c r="A8" s="20" t="s">
        <v>866</v>
      </c>
      <c r="B8" s="20" t="s">
        <v>867</v>
      </c>
      <c r="C8" s="20" t="s">
        <v>868</v>
      </c>
      <c r="D8" s="20" t="s">
        <v>869</v>
      </c>
      <c r="E8" s="21">
        <v>2</v>
      </c>
      <c r="F8" s="22" t="s">
        <v>21</v>
      </c>
      <c r="G8" s="20" t="s">
        <v>870</v>
      </c>
      <c r="H8" s="20" t="s">
        <v>871</v>
      </c>
    </row>
    <row r="9" spans="1:8" ht="135" customHeight="1" x14ac:dyDescent="0.3">
      <c r="A9" s="23" t="s">
        <v>866</v>
      </c>
      <c r="B9" s="23" t="s">
        <v>867</v>
      </c>
      <c r="C9" s="23" t="s">
        <v>872</v>
      </c>
      <c r="D9" s="23" t="s">
        <v>873</v>
      </c>
      <c r="E9" s="21">
        <v>2</v>
      </c>
      <c r="F9" s="28" t="s">
        <v>27</v>
      </c>
      <c r="G9" s="23" t="s">
        <v>874</v>
      </c>
      <c r="H9" s="23" t="s">
        <v>875</v>
      </c>
    </row>
    <row r="10" spans="1:8" ht="75" customHeight="1" x14ac:dyDescent="0.3">
      <c r="A10" s="20" t="s">
        <v>866</v>
      </c>
      <c r="B10" s="20" t="s">
        <v>867</v>
      </c>
      <c r="C10" s="20" t="s">
        <v>876</v>
      </c>
      <c r="D10" s="20" t="s">
        <v>877</v>
      </c>
      <c r="E10" s="21">
        <v>2</v>
      </c>
      <c r="F10" s="28" t="s">
        <v>27</v>
      </c>
      <c r="G10" s="20" t="s">
        <v>874</v>
      </c>
      <c r="H10" s="20" t="s">
        <v>875</v>
      </c>
    </row>
    <row r="11" spans="1:8" ht="45" customHeight="1" x14ac:dyDescent="0.3">
      <c r="A11" s="23" t="s">
        <v>866</v>
      </c>
      <c r="B11" s="23" t="s">
        <v>867</v>
      </c>
      <c r="C11" s="23" t="s">
        <v>878</v>
      </c>
      <c r="D11" s="23" t="s">
        <v>879</v>
      </c>
      <c r="E11" s="27">
        <v>3</v>
      </c>
      <c r="F11" s="28" t="s">
        <v>27</v>
      </c>
      <c r="G11" s="23" t="s">
        <v>880</v>
      </c>
      <c r="H11" s="23" t="s">
        <v>881</v>
      </c>
    </row>
    <row r="12" spans="1:8" ht="45" customHeight="1" x14ac:dyDescent="0.3">
      <c r="A12" s="20" t="s">
        <v>866</v>
      </c>
      <c r="B12" s="20" t="s">
        <v>867</v>
      </c>
      <c r="C12" s="20" t="s">
        <v>882</v>
      </c>
      <c r="D12" s="20" t="s">
        <v>883</v>
      </c>
      <c r="E12" s="27">
        <v>3</v>
      </c>
      <c r="F12" s="28" t="s">
        <v>27</v>
      </c>
      <c r="G12" s="20" t="s">
        <v>880</v>
      </c>
      <c r="H12" s="20" t="s">
        <v>875</v>
      </c>
    </row>
    <row r="13" spans="1:8" ht="18" customHeight="1" x14ac:dyDescent="0.3">
      <c r="A13" s="19" t="s">
        <v>884</v>
      </c>
      <c r="B13" s="19" t="s">
        <v>885</v>
      </c>
      <c r="C13" s="19"/>
      <c r="D13" s="19"/>
      <c r="E13" s="19"/>
      <c r="F13" s="19"/>
      <c r="G13" s="19"/>
      <c r="H13" s="19"/>
    </row>
    <row r="14" spans="1:8" ht="45" customHeight="1" x14ac:dyDescent="0.3">
      <c r="A14" s="20" t="s">
        <v>884</v>
      </c>
      <c r="B14" s="20" t="s">
        <v>885</v>
      </c>
      <c r="C14" s="20" t="s">
        <v>886</v>
      </c>
      <c r="D14" s="20" t="s">
        <v>887</v>
      </c>
      <c r="E14" s="25">
        <v>1</v>
      </c>
      <c r="F14" s="22" t="s">
        <v>21</v>
      </c>
      <c r="G14" s="20" t="s">
        <v>888</v>
      </c>
      <c r="H14" s="20" t="s">
        <v>889</v>
      </c>
    </row>
    <row r="15" spans="1:8" ht="45" customHeight="1" x14ac:dyDescent="0.3">
      <c r="A15" s="23" t="s">
        <v>884</v>
      </c>
      <c r="B15" s="23" t="s">
        <v>885</v>
      </c>
      <c r="C15" s="23" t="s">
        <v>890</v>
      </c>
      <c r="D15" s="23" t="s">
        <v>891</v>
      </c>
      <c r="E15" s="25">
        <v>1</v>
      </c>
      <c r="F15" s="28" t="s">
        <v>27</v>
      </c>
      <c r="G15" s="23" t="s">
        <v>892</v>
      </c>
      <c r="H15" s="23" t="s">
        <v>893</v>
      </c>
    </row>
    <row r="16" spans="1:8" ht="60" customHeight="1" x14ac:dyDescent="0.3">
      <c r="A16" s="20" t="s">
        <v>884</v>
      </c>
      <c r="B16" s="20" t="s">
        <v>885</v>
      </c>
      <c r="C16" s="20" t="s">
        <v>894</v>
      </c>
      <c r="D16" s="20" t="s">
        <v>895</v>
      </c>
      <c r="E16" s="21">
        <v>2</v>
      </c>
      <c r="F16" s="28" t="s">
        <v>27</v>
      </c>
      <c r="G16" s="20" t="s">
        <v>892</v>
      </c>
      <c r="H16" s="20" t="s">
        <v>893</v>
      </c>
    </row>
    <row r="17" spans="1:8" ht="60" customHeight="1" x14ac:dyDescent="0.3">
      <c r="A17" s="23" t="s">
        <v>884</v>
      </c>
      <c r="B17" s="23" t="s">
        <v>885</v>
      </c>
      <c r="C17" s="23" t="s">
        <v>896</v>
      </c>
      <c r="D17" s="23" t="s">
        <v>897</v>
      </c>
      <c r="E17" s="27">
        <v>3</v>
      </c>
      <c r="F17" s="28" t="s">
        <v>27</v>
      </c>
      <c r="G17" s="23" t="s">
        <v>880</v>
      </c>
      <c r="H17" s="23" t="s">
        <v>893</v>
      </c>
    </row>
    <row r="18" spans="1:8" ht="30" customHeight="1" x14ac:dyDescent="0.3">
      <c r="A18" s="20" t="s">
        <v>884</v>
      </c>
      <c r="B18" s="20" t="s">
        <v>885</v>
      </c>
      <c r="C18" s="20" t="s">
        <v>898</v>
      </c>
      <c r="D18" s="20" t="s">
        <v>899</v>
      </c>
      <c r="E18" s="27">
        <v>3</v>
      </c>
      <c r="F18" s="28" t="s">
        <v>27</v>
      </c>
      <c r="G18" s="20" t="s">
        <v>880</v>
      </c>
      <c r="H18" s="20" t="s">
        <v>893</v>
      </c>
    </row>
    <row r="19" spans="1:8" ht="18" customHeight="1" x14ac:dyDescent="0.3">
      <c r="A19" s="19" t="s">
        <v>900</v>
      </c>
      <c r="B19" s="19" t="s">
        <v>901</v>
      </c>
      <c r="C19" s="19"/>
      <c r="D19" s="19"/>
      <c r="E19" s="19"/>
      <c r="F19" s="19"/>
      <c r="G19" s="19"/>
      <c r="H19" s="19"/>
    </row>
    <row r="20" spans="1:8" ht="60" customHeight="1" x14ac:dyDescent="0.3">
      <c r="A20" s="20" t="s">
        <v>900</v>
      </c>
      <c r="B20" s="20" t="s">
        <v>901</v>
      </c>
      <c r="C20" s="20" t="s">
        <v>902</v>
      </c>
      <c r="D20" s="20" t="s">
        <v>903</v>
      </c>
      <c r="E20" s="25">
        <v>1</v>
      </c>
      <c r="F20" s="22" t="s">
        <v>21</v>
      </c>
      <c r="G20" s="20" t="s">
        <v>904</v>
      </c>
      <c r="H20" s="20" t="s">
        <v>905</v>
      </c>
    </row>
    <row r="21" spans="1:8" ht="90" customHeight="1" x14ac:dyDescent="0.3">
      <c r="A21" s="23" t="s">
        <v>900</v>
      </c>
      <c r="B21" s="23" t="s">
        <v>901</v>
      </c>
      <c r="C21" s="23" t="s">
        <v>906</v>
      </c>
      <c r="D21" s="23" t="s">
        <v>907</v>
      </c>
      <c r="E21" s="21">
        <v>2</v>
      </c>
      <c r="F21" s="28" t="s">
        <v>27</v>
      </c>
      <c r="G21" s="23" t="s">
        <v>908</v>
      </c>
      <c r="H21" s="23" t="s">
        <v>909</v>
      </c>
    </row>
    <row r="22" spans="1:8" ht="90" customHeight="1" x14ac:dyDescent="0.3">
      <c r="A22" s="20" t="s">
        <v>900</v>
      </c>
      <c r="B22" s="20" t="s">
        <v>901</v>
      </c>
      <c r="C22" s="20" t="s">
        <v>910</v>
      </c>
      <c r="D22" s="20" t="s">
        <v>911</v>
      </c>
      <c r="E22" s="21">
        <v>2</v>
      </c>
      <c r="F22" s="28" t="s">
        <v>27</v>
      </c>
      <c r="G22" s="20" t="s">
        <v>892</v>
      </c>
      <c r="H22" s="20" t="s">
        <v>909</v>
      </c>
    </row>
    <row r="23" spans="1:8" ht="75" customHeight="1" x14ac:dyDescent="0.3">
      <c r="A23" s="23" t="s">
        <v>900</v>
      </c>
      <c r="B23" s="23" t="s">
        <v>901</v>
      </c>
      <c r="C23" s="23" t="s">
        <v>912</v>
      </c>
      <c r="D23" s="23" t="s">
        <v>913</v>
      </c>
      <c r="E23" s="21">
        <v>2</v>
      </c>
      <c r="F23" s="26" t="s">
        <v>25</v>
      </c>
      <c r="G23" s="23" t="s">
        <v>123</v>
      </c>
      <c r="H23" s="23" t="s">
        <v>124</v>
      </c>
    </row>
    <row r="24" spans="1:8" ht="18" customHeight="1" x14ac:dyDescent="0.3">
      <c r="A24" s="19" t="s">
        <v>914</v>
      </c>
      <c r="B24" s="19" t="s">
        <v>915</v>
      </c>
      <c r="C24" s="19"/>
      <c r="D24" s="19"/>
      <c r="E24" s="19"/>
      <c r="F24" s="19"/>
      <c r="G24" s="19"/>
      <c r="H24" s="19"/>
    </row>
    <row r="25" spans="1:8" ht="75" customHeight="1" x14ac:dyDescent="0.3">
      <c r="A25" s="20" t="s">
        <v>914</v>
      </c>
      <c r="B25" s="20" t="s">
        <v>915</v>
      </c>
      <c r="C25" s="20" t="s">
        <v>916</v>
      </c>
      <c r="D25" s="20" t="s">
        <v>917</v>
      </c>
      <c r="E25" s="21">
        <v>2</v>
      </c>
      <c r="F25" s="28" t="s">
        <v>27</v>
      </c>
      <c r="G25" s="20" t="s">
        <v>918</v>
      </c>
      <c r="H25" s="20" t="s">
        <v>919</v>
      </c>
    </row>
    <row r="26" spans="1:8" ht="30" customHeight="1" x14ac:dyDescent="0.3">
      <c r="A26" s="23" t="s">
        <v>914</v>
      </c>
      <c r="B26" s="23" t="s">
        <v>915</v>
      </c>
      <c r="C26" s="23" t="s">
        <v>920</v>
      </c>
      <c r="D26" s="23" t="s">
        <v>921</v>
      </c>
      <c r="E26" s="27">
        <v>3</v>
      </c>
      <c r="F26" s="28" t="s">
        <v>27</v>
      </c>
      <c r="G26" s="23" t="s">
        <v>922</v>
      </c>
      <c r="H26" s="23" t="s">
        <v>919</v>
      </c>
    </row>
    <row r="27" spans="1:8" ht="18" customHeight="1" x14ac:dyDescent="0.3">
      <c r="A27" s="19" t="s">
        <v>923</v>
      </c>
      <c r="B27" s="19" t="s">
        <v>924</v>
      </c>
      <c r="C27" s="19"/>
      <c r="D27" s="19"/>
      <c r="E27" s="19"/>
      <c r="F27" s="19"/>
      <c r="G27" s="19"/>
      <c r="H27" s="19"/>
    </row>
    <row r="28" spans="1:8" ht="90" customHeight="1" x14ac:dyDescent="0.3">
      <c r="A28" s="20" t="s">
        <v>923</v>
      </c>
      <c r="B28" s="20" t="s">
        <v>924</v>
      </c>
      <c r="C28" s="20" t="s">
        <v>925</v>
      </c>
      <c r="D28" s="20" t="s">
        <v>926</v>
      </c>
      <c r="E28" s="21">
        <v>2</v>
      </c>
      <c r="F28" s="28" t="s">
        <v>27</v>
      </c>
      <c r="G28" s="20" t="s">
        <v>892</v>
      </c>
      <c r="H28" s="20" t="s">
        <v>927</v>
      </c>
    </row>
    <row r="29" spans="1:8" ht="75" customHeight="1" x14ac:dyDescent="0.3">
      <c r="A29" s="23" t="s">
        <v>923</v>
      </c>
      <c r="B29" s="23" t="s">
        <v>924</v>
      </c>
      <c r="C29" s="23" t="s">
        <v>928</v>
      </c>
      <c r="D29" s="23" t="s">
        <v>929</v>
      </c>
      <c r="E29" s="27">
        <v>3</v>
      </c>
      <c r="F29" s="28" t="s">
        <v>27</v>
      </c>
      <c r="G29" s="23" t="s">
        <v>880</v>
      </c>
      <c r="H29" s="23" t="s">
        <v>927</v>
      </c>
    </row>
    <row r="30" spans="1:8" ht="18" customHeight="1" x14ac:dyDescent="0.3">
      <c r="A30" s="19" t="s">
        <v>930</v>
      </c>
      <c r="B30" s="19" t="s">
        <v>931</v>
      </c>
      <c r="C30" s="19"/>
      <c r="D30" s="19"/>
      <c r="E30" s="19"/>
      <c r="F30" s="19"/>
      <c r="G30" s="19"/>
      <c r="H30" s="19"/>
    </row>
    <row r="31" spans="1:8" ht="45" customHeight="1" x14ac:dyDescent="0.3">
      <c r="A31" s="20" t="s">
        <v>930</v>
      </c>
      <c r="B31" s="20" t="s">
        <v>931</v>
      </c>
      <c r="C31" s="20" t="s">
        <v>932</v>
      </c>
      <c r="D31" s="20" t="s">
        <v>933</v>
      </c>
      <c r="E31" s="27">
        <v>3</v>
      </c>
      <c r="F31" s="28" t="s">
        <v>27</v>
      </c>
      <c r="G31" s="20" t="s">
        <v>880</v>
      </c>
      <c r="H31" s="20" t="s">
        <v>934</v>
      </c>
    </row>
    <row r="32" spans="1:8" ht="45" customHeight="1" x14ac:dyDescent="0.3">
      <c r="A32" s="23" t="s">
        <v>930</v>
      </c>
      <c r="B32" s="23" t="s">
        <v>931</v>
      </c>
      <c r="C32" s="23" t="s">
        <v>935</v>
      </c>
      <c r="D32" s="23" t="s">
        <v>936</v>
      </c>
      <c r="E32" s="27">
        <v>3</v>
      </c>
      <c r="F32" s="28" t="s">
        <v>27</v>
      </c>
      <c r="G32" s="23" t="s">
        <v>937</v>
      </c>
      <c r="H32" s="23" t="s">
        <v>934</v>
      </c>
    </row>
  </sheetData>
  <conditionalFormatting sqref="F2:F32">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2" xr:uid="{00000000-0002-0000-0D00-000000000000}">
      <formula1>"Not Started,In Progress,Compliant,Not Applicable"</formula1>
      <formula2>0</formula2>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6"/>
  <sheetViews>
    <sheetView topLeftCell="A4" zoomScale="80" zoomScaleNormal="80" workbookViewId="0">
      <pane ySplit="1" topLeftCell="A2" activePane="bottomLeft" state="frozen"/>
      <selection pane="bottomLeft" activeCell="G16" sqref="G16"/>
    </sheetView>
  </sheetViews>
  <sheetFormatPr defaultColWidth="8.44140625" defaultRowHeight="14.4" x14ac:dyDescent="0.3"/>
  <cols>
    <col min="1" max="1" width="12" customWidth="1"/>
    <col min="2" max="2" width="30" customWidth="1"/>
    <col min="3" max="3" width="12" customWidth="1"/>
    <col min="4" max="4" width="78" customWidth="1"/>
    <col min="5" max="5" width="8" customWidth="1"/>
    <col min="6" max="6" width="16" customWidth="1"/>
    <col min="7" max="7" width="70" customWidth="1"/>
    <col min="8" max="8" width="55" customWidth="1"/>
  </cols>
  <sheetData>
    <row r="1" spans="1:8" ht="27.9" customHeight="1" x14ac:dyDescent="0.3">
      <c r="A1" s="12" t="s">
        <v>101</v>
      </c>
      <c r="B1" s="12" t="s">
        <v>102</v>
      </c>
      <c r="C1" s="12" t="s">
        <v>103</v>
      </c>
      <c r="D1" s="12" t="s">
        <v>104</v>
      </c>
      <c r="E1" s="12" t="s">
        <v>105</v>
      </c>
      <c r="F1" s="12" t="s">
        <v>106</v>
      </c>
      <c r="G1" s="12" t="s">
        <v>107</v>
      </c>
      <c r="H1" s="12" t="s">
        <v>108</v>
      </c>
    </row>
    <row r="2" spans="1:8" ht="18" customHeight="1" x14ac:dyDescent="0.3">
      <c r="A2" s="19" t="s">
        <v>938</v>
      </c>
      <c r="B2" s="19" t="s">
        <v>939</v>
      </c>
      <c r="C2" s="19"/>
      <c r="D2" s="19"/>
      <c r="E2" s="19"/>
      <c r="F2" s="19"/>
      <c r="G2" s="19"/>
      <c r="H2" s="19"/>
    </row>
    <row r="3" spans="1:8" ht="45" customHeight="1" x14ac:dyDescent="0.3">
      <c r="A3" s="20" t="s">
        <v>938</v>
      </c>
      <c r="B3" s="20" t="s">
        <v>939</v>
      </c>
      <c r="C3" s="20" t="s">
        <v>940</v>
      </c>
      <c r="D3" s="20" t="s">
        <v>941</v>
      </c>
      <c r="E3" s="25">
        <v>1</v>
      </c>
      <c r="F3" s="24" t="s">
        <v>23</v>
      </c>
      <c r="G3" s="20" t="s">
        <v>942</v>
      </c>
      <c r="H3" s="20" t="s">
        <v>943</v>
      </c>
    </row>
    <row r="4" spans="1:8" ht="45" customHeight="1" x14ac:dyDescent="0.3">
      <c r="A4" s="23" t="s">
        <v>938</v>
      </c>
      <c r="B4" s="23" t="s">
        <v>939</v>
      </c>
      <c r="C4" s="23" t="s">
        <v>944</v>
      </c>
      <c r="D4" s="23" t="s">
        <v>945</v>
      </c>
      <c r="E4" s="21">
        <v>2</v>
      </c>
      <c r="F4" s="28" t="s">
        <v>27</v>
      </c>
      <c r="G4" s="23" t="s">
        <v>946</v>
      </c>
      <c r="H4" s="23" t="s">
        <v>355</v>
      </c>
    </row>
    <row r="5" spans="1:8" ht="45" customHeight="1" x14ac:dyDescent="0.3">
      <c r="A5" s="20" t="s">
        <v>938</v>
      </c>
      <c r="B5" s="20" t="s">
        <v>939</v>
      </c>
      <c r="C5" s="20" t="s">
        <v>947</v>
      </c>
      <c r="D5" s="20" t="s">
        <v>948</v>
      </c>
      <c r="E5" s="21">
        <v>2</v>
      </c>
      <c r="F5" s="26" t="s">
        <v>25</v>
      </c>
      <c r="G5" s="20" t="s">
        <v>949</v>
      </c>
      <c r="H5" s="20" t="s">
        <v>950</v>
      </c>
    </row>
    <row r="6" spans="1:8" ht="45" customHeight="1" x14ac:dyDescent="0.3">
      <c r="A6" s="23" t="s">
        <v>938</v>
      </c>
      <c r="B6" s="23" t="s">
        <v>939</v>
      </c>
      <c r="C6" s="23" t="s">
        <v>951</v>
      </c>
      <c r="D6" s="23" t="s">
        <v>952</v>
      </c>
      <c r="E6" s="27">
        <v>3</v>
      </c>
      <c r="F6" s="28" t="s">
        <v>27</v>
      </c>
      <c r="G6" s="23" t="s">
        <v>953</v>
      </c>
      <c r="H6" s="23" t="s">
        <v>355</v>
      </c>
    </row>
    <row r="7" spans="1:8" ht="60" customHeight="1" x14ac:dyDescent="0.3">
      <c r="A7" s="20" t="s">
        <v>938</v>
      </c>
      <c r="B7" s="20" t="s">
        <v>939</v>
      </c>
      <c r="C7" s="20" t="s">
        <v>954</v>
      </c>
      <c r="D7" s="20" t="s">
        <v>955</v>
      </c>
      <c r="E7" s="27">
        <v>3</v>
      </c>
      <c r="F7" s="28" t="s">
        <v>27</v>
      </c>
      <c r="G7" s="20" t="s">
        <v>953</v>
      </c>
      <c r="H7" s="20" t="s">
        <v>355</v>
      </c>
    </row>
    <row r="8" spans="1:8" ht="18" customHeight="1" x14ac:dyDescent="0.3">
      <c r="A8" s="19" t="s">
        <v>956</v>
      </c>
      <c r="B8" s="19" t="s">
        <v>957</v>
      </c>
      <c r="C8" s="19"/>
      <c r="D8" s="19"/>
      <c r="E8" s="19"/>
      <c r="F8" s="19"/>
      <c r="G8" s="19"/>
      <c r="H8" s="19"/>
    </row>
    <row r="9" spans="1:8" ht="45" customHeight="1" x14ac:dyDescent="0.3">
      <c r="A9" s="20" t="s">
        <v>956</v>
      </c>
      <c r="B9" s="20" t="s">
        <v>957</v>
      </c>
      <c r="C9" s="20" t="s">
        <v>958</v>
      </c>
      <c r="D9" s="20" t="s">
        <v>959</v>
      </c>
      <c r="E9" s="25">
        <v>1</v>
      </c>
      <c r="F9" s="24" t="s">
        <v>23</v>
      </c>
      <c r="G9" s="20" t="s">
        <v>960</v>
      </c>
      <c r="H9" s="20" t="s">
        <v>961</v>
      </c>
    </row>
    <row r="10" spans="1:8" ht="30" customHeight="1" x14ac:dyDescent="0.3">
      <c r="A10" s="23" t="s">
        <v>956</v>
      </c>
      <c r="B10" s="23" t="s">
        <v>957</v>
      </c>
      <c r="C10" s="23" t="s">
        <v>962</v>
      </c>
      <c r="D10" s="23" t="s">
        <v>963</v>
      </c>
      <c r="E10" s="25">
        <v>1</v>
      </c>
      <c r="F10" s="28" t="s">
        <v>27</v>
      </c>
      <c r="G10" s="23" t="s">
        <v>964</v>
      </c>
      <c r="H10" s="23" t="s">
        <v>355</v>
      </c>
    </row>
    <row r="11" spans="1:8" ht="18" customHeight="1" x14ac:dyDescent="0.3">
      <c r="A11" s="19" t="s">
        <v>965</v>
      </c>
      <c r="B11" s="19" t="s">
        <v>966</v>
      </c>
      <c r="C11" s="19"/>
      <c r="D11" s="19"/>
      <c r="E11" s="19"/>
      <c r="F11" s="19"/>
      <c r="G11" s="19"/>
      <c r="H11" s="19"/>
    </row>
    <row r="12" spans="1:8" ht="90" customHeight="1" x14ac:dyDescent="0.3">
      <c r="A12" s="20" t="s">
        <v>965</v>
      </c>
      <c r="B12" s="20" t="s">
        <v>966</v>
      </c>
      <c r="C12" s="20" t="s">
        <v>967</v>
      </c>
      <c r="D12" s="20" t="s">
        <v>968</v>
      </c>
      <c r="E12" s="21">
        <v>2</v>
      </c>
      <c r="F12" s="28" t="s">
        <v>27</v>
      </c>
      <c r="G12" s="20" t="s">
        <v>969</v>
      </c>
      <c r="H12" s="20" t="s">
        <v>970</v>
      </c>
    </row>
    <row r="13" spans="1:8" ht="30" customHeight="1" x14ac:dyDescent="0.3">
      <c r="A13" s="23" t="s">
        <v>965</v>
      </c>
      <c r="B13" s="23" t="s">
        <v>966</v>
      </c>
      <c r="C13" s="23" t="s">
        <v>971</v>
      </c>
      <c r="D13" s="23" t="s">
        <v>972</v>
      </c>
      <c r="E13" s="21">
        <v>2</v>
      </c>
      <c r="F13" s="28" t="s">
        <v>27</v>
      </c>
      <c r="G13" s="23" t="s">
        <v>969</v>
      </c>
      <c r="H13" s="23" t="s">
        <v>970</v>
      </c>
    </row>
    <row r="14" spans="1:8" ht="60" customHeight="1" x14ac:dyDescent="0.3">
      <c r="A14" s="20" t="s">
        <v>965</v>
      </c>
      <c r="B14" s="20" t="s">
        <v>966</v>
      </c>
      <c r="C14" s="20" t="s">
        <v>973</v>
      </c>
      <c r="D14" s="20" t="s">
        <v>974</v>
      </c>
      <c r="E14" s="21">
        <v>2</v>
      </c>
      <c r="F14" s="28" t="s">
        <v>27</v>
      </c>
      <c r="G14" s="20" t="s">
        <v>969</v>
      </c>
      <c r="H14" s="20" t="s">
        <v>970</v>
      </c>
    </row>
    <row r="15" spans="1:8" ht="75" customHeight="1" x14ac:dyDescent="0.3">
      <c r="A15" s="23" t="s">
        <v>965</v>
      </c>
      <c r="B15" s="23" t="s">
        <v>966</v>
      </c>
      <c r="C15" s="23" t="s">
        <v>975</v>
      </c>
      <c r="D15" s="23" t="s">
        <v>976</v>
      </c>
      <c r="E15" s="21">
        <v>2</v>
      </c>
      <c r="F15" s="28" t="s">
        <v>27</v>
      </c>
      <c r="G15" s="23" t="s">
        <v>969</v>
      </c>
      <c r="H15" s="23" t="s">
        <v>970</v>
      </c>
    </row>
    <row r="16" spans="1:8" ht="120" customHeight="1" x14ac:dyDescent="0.3">
      <c r="A16" s="20" t="s">
        <v>965</v>
      </c>
      <c r="B16" s="20" t="s">
        <v>966</v>
      </c>
      <c r="C16" s="20" t="s">
        <v>977</v>
      </c>
      <c r="D16" s="20" t="s">
        <v>978</v>
      </c>
      <c r="E16" s="27">
        <v>3</v>
      </c>
      <c r="F16" s="26" t="s">
        <v>25</v>
      </c>
      <c r="G16" s="20" t="s">
        <v>979</v>
      </c>
      <c r="H16" s="20" t="s">
        <v>980</v>
      </c>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0E00-000000000000}">
      <formula1>"Not Started,In Progress,Compliant,Not Applicable"</formula1>
      <formula2>0</formula2>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6"/>
  <sheetViews>
    <sheetView topLeftCell="A4" zoomScale="80" zoomScaleNormal="80" workbookViewId="0">
      <pane ySplit="1" topLeftCell="A2" activePane="bottomLeft" state="frozen"/>
      <selection pane="bottomLeft" activeCell="G26" sqref="G26"/>
    </sheetView>
  </sheetViews>
  <sheetFormatPr defaultColWidth="8.44140625" defaultRowHeight="14.4" x14ac:dyDescent="0.3"/>
  <cols>
    <col min="1" max="1" width="12" customWidth="1"/>
    <col min="2" max="2" width="30" customWidth="1"/>
    <col min="3" max="3" width="12" customWidth="1"/>
    <col min="4" max="4" width="78" customWidth="1"/>
    <col min="5" max="5" width="8" customWidth="1"/>
    <col min="6" max="6" width="16" customWidth="1"/>
    <col min="7" max="7" width="70" customWidth="1"/>
    <col min="8" max="8" width="55" customWidth="1"/>
  </cols>
  <sheetData>
    <row r="1" spans="1:8" ht="27.9" customHeight="1" x14ac:dyDescent="0.3">
      <c r="A1" s="12" t="s">
        <v>101</v>
      </c>
      <c r="B1" s="12" t="s">
        <v>102</v>
      </c>
      <c r="C1" s="12" t="s">
        <v>103</v>
      </c>
      <c r="D1" s="12" t="s">
        <v>104</v>
      </c>
      <c r="E1" s="12" t="s">
        <v>105</v>
      </c>
      <c r="F1" s="12" t="s">
        <v>106</v>
      </c>
      <c r="G1" s="12" t="s">
        <v>107</v>
      </c>
      <c r="H1" s="12" t="s">
        <v>108</v>
      </c>
    </row>
    <row r="2" spans="1:8" ht="18" customHeight="1" x14ac:dyDescent="0.3">
      <c r="A2" s="19" t="s">
        <v>981</v>
      </c>
      <c r="B2" s="19" t="s">
        <v>982</v>
      </c>
      <c r="C2" s="19"/>
      <c r="D2" s="19"/>
      <c r="E2" s="19"/>
      <c r="F2" s="19"/>
      <c r="G2" s="19"/>
      <c r="H2" s="19"/>
    </row>
    <row r="3" spans="1:8" ht="30" customHeight="1" x14ac:dyDescent="0.3">
      <c r="A3" s="20" t="s">
        <v>981</v>
      </c>
      <c r="B3" s="20" t="s">
        <v>982</v>
      </c>
      <c r="C3" s="20" t="s">
        <v>983</v>
      </c>
      <c r="D3" s="20" t="s">
        <v>984</v>
      </c>
      <c r="E3" s="21">
        <v>2</v>
      </c>
      <c r="F3" s="22" t="s">
        <v>21</v>
      </c>
      <c r="G3" s="20" t="s">
        <v>985</v>
      </c>
      <c r="H3" s="20" t="s">
        <v>986</v>
      </c>
    </row>
    <row r="4" spans="1:8" ht="30" customHeight="1" x14ac:dyDescent="0.3">
      <c r="A4" s="23" t="s">
        <v>981</v>
      </c>
      <c r="B4" s="23" t="s">
        <v>982</v>
      </c>
      <c r="C4" s="23" t="s">
        <v>987</v>
      </c>
      <c r="D4" s="23" t="s">
        <v>988</v>
      </c>
      <c r="E4" s="27">
        <v>3</v>
      </c>
      <c r="F4" s="28" t="s">
        <v>27</v>
      </c>
      <c r="G4" s="23" t="s">
        <v>989</v>
      </c>
      <c r="H4" s="23" t="s">
        <v>241</v>
      </c>
    </row>
    <row r="5" spans="1:8" ht="30" customHeight="1" x14ac:dyDescent="0.3">
      <c r="A5" s="20" t="s">
        <v>981</v>
      </c>
      <c r="B5" s="20" t="s">
        <v>982</v>
      </c>
      <c r="C5" s="20" t="s">
        <v>990</v>
      </c>
      <c r="D5" s="20" t="s">
        <v>991</v>
      </c>
      <c r="E5" s="27">
        <v>3</v>
      </c>
      <c r="F5" s="28" t="s">
        <v>27</v>
      </c>
      <c r="G5" s="20" t="s">
        <v>989</v>
      </c>
      <c r="H5" s="20" t="s">
        <v>241</v>
      </c>
    </row>
    <row r="6" spans="1:8" ht="30" customHeight="1" x14ac:dyDescent="0.3">
      <c r="A6" s="23" t="s">
        <v>981</v>
      </c>
      <c r="B6" s="23" t="s">
        <v>982</v>
      </c>
      <c r="C6" s="23" t="s">
        <v>992</v>
      </c>
      <c r="D6" s="23" t="s">
        <v>993</v>
      </c>
      <c r="E6" s="27">
        <v>3</v>
      </c>
      <c r="F6" s="24" t="s">
        <v>23</v>
      </c>
      <c r="G6" s="23" t="s">
        <v>994</v>
      </c>
      <c r="H6" s="23" t="s">
        <v>995</v>
      </c>
    </row>
    <row r="7" spans="1:8" ht="18" customHeight="1" x14ac:dyDescent="0.3">
      <c r="A7" s="19" t="s">
        <v>996</v>
      </c>
      <c r="B7" s="19" t="s">
        <v>997</v>
      </c>
      <c r="C7" s="19"/>
      <c r="D7" s="19"/>
      <c r="E7" s="19"/>
      <c r="F7" s="19"/>
      <c r="G7" s="19"/>
      <c r="H7" s="19"/>
    </row>
    <row r="8" spans="1:8" ht="30" customHeight="1" x14ac:dyDescent="0.3">
      <c r="A8" s="20" t="s">
        <v>996</v>
      </c>
      <c r="B8" s="20" t="s">
        <v>997</v>
      </c>
      <c r="C8" s="20" t="s">
        <v>998</v>
      </c>
      <c r="D8" s="20" t="s">
        <v>999</v>
      </c>
      <c r="E8" s="21">
        <v>2</v>
      </c>
      <c r="F8" s="28" t="s">
        <v>27</v>
      </c>
      <c r="G8" s="20" t="s">
        <v>1000</v>
      </c>
      <c r="H8" s="20" t="s">
        <v>1001</v>
      </c>
    </row>
    <row r="9" spans="1:8" ht="30" customHeight="1" x14ac:dyDescent="0.3">
      <c r="A9" s="23" t="s">
        <v>996</v>
      </c>
      <c r="B9" s="23" t="s">
        <v>997</v>
      </c>
      <c r="C9" s="23" t="s">
        <v>1002</v>
      </c>
      <c r="D9" s="23" t="s">
        <v>1003</v>
      </c>
      <c r="E9" s="21">
        <v>2</v>
      </c>
      <c r="F9" s="28" t="s">
        <v>27</v>
      </c>
      <c r="G9" s="23" t="s">
        <v>1004</v>
      </c>
      <c r="H9" s="23" t="s">
        <v>1001</v>
      </c>
    </row>
    <row r="10" spans="1:8" ht="30" customHeight="1" x14ac:dyDescent="0.3">
      <c r="A10" s="20" t="s">
        <v>996</v>
      </c>
      <c r="B10" s="20" t="s">
        <v>997</v>
      </c>
      <c r="C10" s="20" t="s">
        <v>1005</v>
      </c>
      <c r="D10" s="20" t="s">
        <v>1006</v>
      </c>
      <c r="E10" s="21">
        <v>2</v>
      </c>
      <c r="F10" s="28" t="s">
        <v>27</v>
      </c>
      <c r="G10" s="20" t="s">
        <v>1004</v>
      </c>
      <c r="H10" s="20" t="s">
        <v>1001</v>
      </c>
    </row>
    <row r="11" spans="1:8" ht="30" customHeight="1" x14ac:dyDescent="0.3">
      <c r="A11" s="23" t="s">
        <v>996</v>
      </c>
      <c r="B11" s="23" t="s">
        <v>997</v>
      </c>
      <c r="C11" s="23" t="s">
        <v>1007</v>
      </c>
      <c r="D11" s="23" t="s">
        <v>1008</v>
      </c>
      <c r="E11" s="21">
        <v>2</v>
      </c>
      <c r="F11" s="28" t="s">
        <v>27</v>
      </c>
      <c r="G11" s="23" t="s">
        <v>1009</v>
      </c>
      <c r="H11" s="23" t="s">
        <v>1001</v>
      </c>
    </row>
    <row r="12" spans="1:8" ht="30" customHeight="1" x14ac:dyDescent="0.3">
      <c r="A12" s="20" t="s">
        <v>996</v>
      </c>
      <c r="B12" s="20" t="s">
        <v>997</v>
      </c>
      <c r="C12" s="20" t="s">
        <v>1010</v>
      </c>
      <c r="D12" s="20" t="s">
        <v>1011</v>
      </c>
      <c r="E12" s="21">
        <v>2</v>
      </c>
      <c r="F12" s="28" t="s">
        <v>27</v>
      </c>
      <c r="G12" s="20" t="s">
        <v>1009</v>
      </c>
      <c r="H12" s="20" t="s">
        <v>1001</v>
      </c>
    </row>
    <row r="13" spans="1:8" ht="30" customHeight="1" x14ac:dyDescent="0.3">
      <c r="A13" s="23" t="s">
        <v>996</v>
      </c>
      <c r="B13" s="23" t="s">
        <v>997</v>
      </c>
      <c r="C13" s="23" t="s">
        <v>1012</v>
      </c>
      <c r="D13" s="23" t="s">
        <v>1013</v>
      </c>
      <c r="E13" s="27">
        <v>3</v>
      </c>
      <c r="F13" s="28" t="s">
        <v>27</v>
      </c>
      <c r="G13" s="23" t="s">
        <v>1014</v>
      </c>
      <c r="H13" s="23" t="s">
        <v>1001</v>
      </c>
    </row>
    <row r="14" spans="1:8" ht="18" customHeight="1" x14ac:dyDescent="0.3">
      <c r="A14" s="19" t="s">
        <v>1015</v>
      </c>
      <c r="B14" s="19" t="s">
        <v>1016</v>
      </c>
      <c r="C14" s="19"/>
      <c r="D14" s="19"/>
      <c r="E14" s="19"/>
      <c r="F14" s="19"/>
      <c r="G14" s="19"/>
      <c r="H14" s="19"/>
    </row>
    <row r="15" spans="1:8" ht="30" customHeight="1" x14ac:dyDescent="0.3">
      <c r="A15" s="20" t="s">
        <v>1015</v>
      </c>
      <c r="B15" s="20" t="s">
        <v>1016</v>
      </c>
      <c r="C15" s="20" t="s">
        <v>1017</v>
      </c>
      <c r="D15" s="20" t="s">
        <v>1018</v>
      </c>
      <c r="E15" s="21">
        <v>2</v>
      </c>
      <c r="F15" s="24" t="s">
        <v>23</v>
      </c>
      <c r="G15" s="20" t="s">
        <v>1019</v>
      </c>
      <c r="H15" s="20" t="s">
        <v>1020</v>
      </c>
    </row>
    <row r="16" spans="1:8" ht="30" customHeight="1" x14ac:dyDescent="0.3">
      <c r="A16" s="23" t="s">
        <v>1015</v>
      </c>
      <c r="B16" s="23" t="s">
        <v>1016</v>
      </c>
      <c r="C16" s="23" t="s">
        <v>1021</v>
      </c>
      <c r="D16" s="23" t="s">
        <v>1022</v>
      </c>
      <c r="E16" s="21">
        <v>2</v>
      </c>
      <c r="F16" s="24" t="s">
        <v>23</v>
      </c>
      <c r="G16" s="23" t="s">
        <v>1023</v>
      </c>
      <c r="H16" s="23" t="s">
        <v>1024</v>
      </c>
    </row>
    <row r="17" spans="1:8" ht="30" customHeight="1" x14ac:dyDescent="0.3">
      <c r="A17" s="20" t="s">
        <v>1015</v>
      </c>
      <c r="B17" s="20" t="s">
        <v>1016</v>
      </c>
      <c r="C17" s="20" t="s">
        <v>1025</v>
      </c>
      <c r="D17" s="20" t="s">
        <v>1026</v>
      </c>
      <c r="E17" s="27">
        <v>3</v>
      </c>
      <c r="F17" s="28" t="s">
        <v>27</v>
      </c>
      <c r="G17" s="20" t="s">
        <v>1027</v>
      </c>
      <c r="H17" s="20" t="s">
        <v>241</v>
      </c>
    </row>
    <row r="18" spans="1:8" ht="30" customHeight="1" x14ac:dyDescent="0.3">
      <c r="A18" s="23" t="s">
        <v>1015</v>
      </c>
      <c r="B18" s="23" t="s">
        <v>1016</v>
      </c>
      <c r="C18" s="23" t="s">
        <v>1028</v>
      </c>
      <c r="D18" s="23" t="s">
        <v>1029</v>
      </c>
      <c r="E18" s="27">
        <v>3</v>
      </c>
      <c r="F18" s="28" t="s">
        <v>27</v>
      </c>
      <c r="G18" s="23" t="s">
        <v>1030</v>
      </c>
      <c r="H18" s="23" t="s">
        <v>241</v>
      </c>
    </row>
    <row r="19" spans="1:8" ht="18" customHeight="1" x14ac:dyDescent="0.3">
      <c r="A19" s="19" t="s">
        <v>1031</v>
      </c>
      <c r="B19" s="19" t="s">
        <v>1032</v>
      </c>
      <c r="C19" s="19"/>
      <c r="D19" s="19"/>
      <c r="E19" s="19"/>
      <c r="F19" s="19"/>
      <c r="G19" s="19"/>
      <c r="H19" s="19"/>
    </row>
    <row r="20" spans="1:8" ht="30" customHeight="1" x14ac:dyDescent="0.3">
      <c r="A20" s="20" t="s">
        <v>1031</v>
      </c>
      <c r="B20" s="20" t="s">
        <v>1032</v>
      </c>
      <c r="C20" s="20" t="s">
        <v>1033</v>
      </c>
      <c r="D20" s="20" t="s">
        <v>1034</v>
      </c>
      <c r="E20" s="25">
        <v>1</v>
      </c>
      <c r="F20" s="24" t="s">
        <v>23</v>
      </c>
      <c r="G20" s="20" t="s">
        <v>1035</v>
      </c>
      <c r="H20" s="20" t="s">
        <v>1036</v>
      </c>
    </row>
    <row r="21" spans="1:8" ht="30" customHeight="1" x14ac:dyDescent="0.3">
      <c r="A21" s="23" t="s">
        <v>1031</v>
      </c>
      <c r="B21" s="23" t="s">
        <v>1032</v>
      </c>
      <c r="C21" s="23" t="s">
        <v>1037</v>
      </c>
      <c r="D21" s="23" t="s">
        <v>1038</v>
      </c>
      <c r="E21" s="21">
        <v>2</v>
      </c>
      <c r="F21" s="24" t="s">
        <v>23</v>
      </c>
      <c r="G21" s="23" t="s">
        <v>1039</v>
      </c>
      <c r="H21" s="23" t="s">
        <v>1040</v>
      </c>
    </row>
    <row r="22" spans="1:8" ht="30" customHeight="1" x14ac:dyDescent="0.3">
      <c r="A22" s="20" t="s">
        <v>1031</v>
      </c>
      <c r="B22" s="20" t="s">
        <v>1032</v>
      </c>
      <c r="C22" s="20" t="s">
        <v>1041</v>
      </c>
      <c r="D22" s="20" t="s">
        <v>1042</v>
      </c>
      <c r="E22" s="21">
        <v>2</v>
      </c>
      <c r="F22" s="22" t="s">
        <v>21</v>
      </c>
      <c r="G22" s="20" t="s">
        <v>1043</v>
      </c>
      <c r="H22" s="20" t="s">
        <v>1044</v>
      </c>
    </row>
    <row r="23" spans="1:8" ht="30" customHeight="1" x14ac:dyDescent="0.3">
      <c r="A23" s="23" t="s">
        <v>1031</v>
      </c>
      <c r="B23" s="23" t="s">
        <v>1032</v>
      </c>
      <c r="C23" s="23" t="s">
        <v>1045</v>
      </c>
      <c r="D23" s="23" t="s">
        <v>1046</v>
      </c>
      <c r="E23" s="21">
        <v>2</v>
      </c>
      <c r="F23" s="28" t="s">
        <v>27</v>
      </c>
      <c r="G23" s="23" t="s">
        <v>1047</v>
      </c>
      <c r="H23" s="23" t="s">
        <v>1048</v>
      </c>
    </row>
    <row r="24" spans="1:8" ht="30" customHeight="1" x14ac:dyDescent="0.3">
      <c r="A24" s="20" t="s">
        <v>1031</v>
      </c>
      <c r="B24" s="20" t="s">
        <v>1032</v>
      </c>
      <c r="C24" s="20" t="s">
        <v>1049</v>
      </c>
      <c r="D24" s="20" t="s">
        <v>1050</v>
      </c>
      <c r="E24" s="21">
        <v>2</v>
      </c>
      <c r="F24" s="28" t="s">
        <v>27</v>
      </c>
      <c r="G24" s="20" t="s">
        <v>1051</v>
      </c>
      <c r="H24" s="20" t="s">
        <v>1052</v>
      </c>
    </row>
    <row r="25" spans="1:8" ht="30" customHeight="1" x14ac:dyDescent="0.3">
      <c r="A25" s="23" t="s">
        <v>1031</v>
      </c>
      <c r="B25" s="23" t="s">
        <v>1032</v>
      </c>
      <c r="C25" s="23" t="s">
        <v>1053</v>
      </c>
      <c r="D25" s="23" t="s">
        <v>1054</v>
      </c>
      <c r="E25" s="27">
        <v>3</v>
      </c>
      <c r="F25" s="28" t="s">
        <v>27</v>
      </c>
      <c r="G25" s="23" t="s">
        <v>1055</v>
      </c>
      <c r="H25" s="23" t="s">
        <v>1048</v>
      </c>
    </row>
    <row r="26" spans="1:8" ht="30" customHeight="1" x14ac:dyDescent="0.3">
      <c r="A26" s="20" t="s">
        <v>1031</v>
      </c>
      <c r="B26" s="20" t="s">
        <v>1032</v>
      </c>
      <c r="C26" s="20" t="s">
        <v>1056</v>
      </c>
      <c r="D26" s="20" t="s">
        <v>1057</v>
      </c>
      <c r="E26" s="27">
        <v>3</v>
      </c>
      <c r="F26" s="28" t="s">
        <v>27</v>
      </c>
      <c r="G26" s="20" t="s">
        <v>1058</v>
      </c>
      <c r="H26" s="20" t="s">
        <v>1059</v>
      </c>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F00-000000000000}">
      <formula1>"Not Started,In Progress,Compliant,Not Applicable"</formula1>
      <formula2>0</formula2>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17"/>
  <sheetViews>
    <sheetView topLeftCell="A2" zoomScale="80" zoomScaleNormal="80" workbookViewId="0">
      <pane ySplit="1" topLeftCell="A2" activePane="bottomLeft" state="frozen"/>
      <selection pane="bottomLeft" activeCell="G12" sqref="G12"/>
    </sheetView>
  </sheetViews>
  <sheetFormatPr defaultColWidth="8.44140625" defaultRowHeight="14.4" x14ac:dyDescent="0.3"/>
  <cols>
    <col min="1" max="1" width="12" customWidth="1"/>
    <col min="2" max="2" width="30" customWidth="1"/>
    <col min="3" max="3" width="12" customWidth="1"/>
    <col min="4" max="4" width="78" customWidth="1"/>
    <col min="5" max="5" width="8" customWidth="1"/>
    <col min="6" max="6" width="16" customWidth="1"/>
    <col min="7" max="7" width="70" customWidth="1"/>
    <col min="8" max="8" width="55" customWidth="1"/>
  </cols>
  <sheetData>
    <row r="1" spans="1:8" ht="27.9" customHeight="1" x14ac:dyDescent="0.3">
      <c r="A1" s="12" t="s">
        <v>101</v>
      </c>
      <c r="B1" s="12" t="s">
        <v>102</v>
      </c>
      <c r="C1" s="12" t="s">
        <v>103</v>
      </c>
      <c r="D1" s="12" t="s">
        <v>104</v>
      </c>
      <c r="E1" s="12" t="s">
        <v>105</v>
      </c>
      <c r="F1" s="12" t="s">
        <v>106</v>
      </c>
      <c r="G1" s="12" t="s">
        <v>107</v>
      </c>
      <c r="H1" s="12" t="s">
        <v>108</v>
      </c>
    </row>
    <row r="2" spans="1:8" ht="18" customHeight="1" x14ac:dyDescent="0.3">
      <c r="A2" s="19" t="s">
        <v>1060</v>
      </c>
      <c r="B2" s="19" t="s">
        <v>1061</v>
      </c>
      <c r="C2" s="19"/>
      <c r="D2" s="19"/>
      <c r="E2" s="19"/>
      <c r="F2" s="19"/>
      <c r="G2" s="19"/>
      <c r="H2" s="19"/>
    </row>
    <row r="3" spans="1:8" ht="30" customHeight="1" x14ac:dyDescent="0.3">
      <c r="A3" s="20" t="s">
        <v>1060</v>
      </c>
      <c r="B3" s="20" t="s">
        <v>1061</v>
      </c>
      <c r="C3" s="20" t="s">
        <v>1062</v>
      </c>
      <c r="D3" s="20" t="s">
        <v>1063</v>
      </c>
      <c r="E3" s="21">
        <v>2</v>
      </c>
      <c r="F3" s="24" t="s">
        <v>23</v>
      </c>
      <c r="G3" s="20" t="s">
        <v>1064</v>
      </c>
      <c r="H3" s="20" t="s">
        <v>1065</v>
      </c>
    </row>
    <row r="4" spans="1:8" ht="30" customHeight="1" x14ac:dyDescent="0.3">
      <c r="A4" s="23" t="s">
        <v>1060</v>
      </c>
      <c r="B4" s="23" t="s">
        <v>1061</v>
      </c>
      <c r="C4" s="23" t="s">
        <v>1066</v>
      </c>
      <c r="D4" s="23" t="s">
        <v>1067</v>
      </c>
      <c r="E4" s="21">
        <v>2</v>
      </c>
      <c r="F4" s="24" t="s">
        <v>23</v>
      </c>
      <c r="G4" s="23" t="s">
        <v>1068</v>
      </c>
      <c r="H4" s="23" t="s">
        <v>1069</v>
      </c>
    </row>
    <row r="5" spans="1:8" ht="18" customHeight="1" x14ac:dyDescent="0.3">
      <c r="A5" s="19" t="s">
        <v>1070</v>
      </c>
      <c r="B5" s="19" t="s">
        <v>1071</v>
      </c>
      <c r="C5" s="19"/>
      <c r="D5" s="19"/>
      <c r="E5" s="19"/>
      <c r="F5" s="19"/>
      <c r="G5" s="19"/>
      <c r="H5" s="19"/>
    </row>
    <row r="6" spans="1:8" ht="30" customHeight="1" x14ac:dyDescent="0.3">
      <c r="A6" s="20" t="s">
        <v>1070</v>
      </c>
      <c r="B6" s="20" t="s">
        <v>1071</v>
      </c>
      <c r="C6" s="20" t="s">
        <v>1072</v>
      </c>
      <c r="D6" s="20" t="s">
        <v>1073</v>
      </c>
      <c r="E6" s="25">
        <v>1</v>
      </c>
      <c r="F6" s="22" t="s">
        <v>21</v>
      </c>
      <c r="G6" s="20" t="s">
        <v>1074</v>
      </c>
      <c r="H6" s="20" t="s">
        <v>1075</v>
      </c>
    </row>
    <row r="7" spans="1:8" ht="30" customHeight="1" x14ac:dyDescent="0.3">
      <c r="A7" s="23" t="s">
        <v>1070</v>
      </c>
      <c r="B7" s="23" t="s">
        <v>1071</v>
      </c>
      <c r="C7" s="23" t="s">
        <v>1076</v>
      </c>
      <c r="D7" s="23" t="s">
        <v>1077</v>
      </c>
      <c r="E7" s="21">
        <v>2</v>
      </c>
      <c r="F7" s="28" t="s">
        <v>27</v>
      </c>
      <c r="G7" s="23" t="s">
        <v>1078</v>
      </c>
      <c r="H7" s="23" t="s">
        <v>1079</v>
      </c>
    </row>
    <row r="8" spans="1:8" ht="30" customHeight="1" x14ac:dyDescent="0.3">
      <c r="A8" s="20" t="s">
        <v>1070</v>
      </c>
      <c r="B8" s="20" t="s">
        <v>1071</v>
      </c>
      <c r="C8" s="20" t="s">
        <v>1080</v>
      </c>
      <c r="D8" s="20" t="s">
        <v>1081</v>
      </c>
      <c r="E8" s="21">
        <v>2</v>
      </c>
      <c r="F8" s="24" t="s">
        <v>23</v>
      </c>
      <c r="G8" s="20" t="s">
        <v>1082</v>
      </c>
      <c r="H8" s="20" t="s">
        <v>1083</v>
      </c>
    </row>
    <row r="9" spans="1:8" ht="30" customHeight="1" x14ac:dyDescent="0.3">
      <c r="A9" s="23" t="s">
        <v>1070</v>
      </c>
      <c r="B9" s="23" t="s">
        <v>1071</v>
      </c>
      <c r="C9" s="23" t="s">
        <v>1084</v>
      </c>
      <c r="D9" s="23" t="s">
        <v>1085</v>
      </c>
      <c r="E9" s="21">
        <v>2</v>
      </c>
      <c r="F9" s="24" t="s">
        <v>23</v>
      </c>
      <c r="G9" s="23" t="s">
        <v>1086</v>
      </c>
      <c r="H9" s="23" t="s">
        <v>1087</v>
      </c>
    </row>
    <row r="10" spans="1:8" ht="30" customHeight="1" x14ac:dyDescent="0.3">
      <c r="A10" s="20" t="s">
        <v>1070</v>
      </c>
      <c r="B10" s="20" t="s">
        <v>1071</v>
      </c>
      <c r="C10" s="20" t="s">
        <v>1088</v>
      </c>
      <c r="D10" s="20" t="s">
        <v>1089</v>
      </c>
      <c r="E10" s="27">
        <v>3</v>
      </c>
      <c r="F10" s="28" t="s">
        <v>27</v>
      </c>
      <c r="G10" s="20" t="s">
        <v>1090</v>
      </c>
      <c r="H10" s="20" t="s">
        <v>1079</v>
      </c>
    </row>
    <row r="11" spans="1:8" ht="30" customHeight="1" x14ac:dyDescent="0.3">
      <c r="A11" s="23" t="s">
        <v>1070</v>
      </c>
      <c r="B11" s="23" t="s">
        <v>1071</v>
      </c>
      <c r="C11" s="23" t="s">
        <v>1091</v>
      </c>
      <c r="D11" s="23" t="s">
        <v>1092</v>
      </c>
      <c r="E11" s="27">
        <v>3</v>
      </c>
      <c r="F11" s="24" t="s">
        <v>23</v>
      </c>
      <c r="G11" s="23" t="s">
        <v>1093</v>
      </c>
      <c r="H11" s="23" t="s">
        <v>1094</v>
      </c>
    </row>
    <row r="12" spans="1:8" ht="30" customHeight="1" x14ac:dyDescent="0.3">
      <c r="A12" s="20" t="s">
        <v>1070</v>
      </c>
      <c r="B12" s="20" t="s">
        <v>1071</v>
      </c>
      <c r="C12" s="20" t="s">
        <v>1095</v>
      </c>
      <c r="D12" s="20" t="s">
        <v>1096</v>
      </c>
      <c r="E12" s="27">
        <v>3</v>
      </c>
      <c r="F12" s="28" t="s">
        <v>27</v>
      </c>
      <c r="G12" s="20" t="s">
        <v>1097</v>
      </c>
      <c r="H12" s="20" t="s">
        <v>1098</v>
      </c>
    </row>
    <row r="13" spans="1:8" ht="30" customHeight="1" x14ac:dyDescent="0.3">
      <c r="A13" s="23" t="s">
        <v>1070</v>
      </c>
      <c r="B13" s="23" t="s">
        <v>1071</v>
      </c>
      <c r="C13" s="23" t="s">
        <v>1099</v>
      </c>
      <c r="D13" s="23" t="s">
        <v>1100</v>
      </c>
      <c r="E13" s="27">
        <v>3</v>
      </c>
      <c r="F13" s="24" t="s">
        <v>23</v>
      </c>
      <c r="G13" s="23" t="s">
        <v>1101</v>
      </c>
      <c r="H13" s="23" t="s">
        <v>1102</v>
      </c>
    </row>
    <row r="14" spans="1:8" ht="18" customHeight="1" x14ac:dyDescent="0.3">
      <c r="A14" s="19" t="s">
        <v>1103</v>
      </c>
      <c r="B14" s="19" t="s">
        <v>1104</v>
      </c>
      <c r="C14" s="19"/>
      <c r="D14" s="19"/>
      <c r="E14" s="19"/>
      <c r="F14" s="19"/>
      <c r="G14" s="19"/>
      <c r="H14" s="19"/>
    </row>
    <row r="15" spans="1:8" ht="30" customHeight="1" x14ac:dyDescent="0.3">
      <c r="A15" s="20" t="s">
        <v>1103</v>
      </c>
      <c r="B15" s="20" t="s">
        <v>1104</v>
      </c>
      <c r="C15" s="20" t="s">
        <v>1105</v>
      </c>
      <c r="D15" s="20" t="s">
        <v>1106</v>
      </c>
      <c r="E15" s="25">
        <v>1</v>
      </c>
      <c r="F15" s="26" t="s">
        <v>25</v>
      </c>
      <c r="G15" s="20" t="s">
        <v>1107</v>
      </c>
      <c r="H15" s="20" t="s">
        <v>272</v>
      </c>
    </row>
    <row r="16" spans="1:8" ht="30" customHeight="1" x14ac:dyDescent="0.3">
      <c r="A16" s="23" t="s">
        <v>1103</v>
      </c>
      <c r="B16" s="23" t="s">
        <v>1104</v>
      </c>
      <c r="C16" s="23" t="s">
        <v>1108</v>
      </c>
      <c r="D16" s="23" t="s">
        <v>1109</v>
      </c>
      <c r="E16" s="21">
        <v>2</v>
      </c>
      <c r="F16" s="28" t="s">
        <v>27</v>
      </c>
      <c r="G16" s="23" t="s">
        <v>1110</v>
      </c>
      <c r="H16" s="23" t="s">
        <v>1079</v>
      </c>
    </row>
    <row r="17" spans="1:8" ht="30" customHeight="1" x14ac:dyDescent="0.3">
      <c r="A17" s="20" t="s">
        <v>1103</v>
      </c>
      <c r="B17" s="20" t="s">
        <v>1104</v>
      </c>
      <c r="C17" s="20" t="s">
        <v>1111</v>
      </c>
      <c r="D17" s="20" t="s">
        <v>1112</v>
      </c>
      <c r="E17" s="21">
        <v>2</v>
      </c>
      <c r="F17" s="28" t="s">
        <v>27</v>
      </c>
      <c r="G17" s="20" t="s">
        <v>1110</v>
      </c>
      <c r="H17" s="20" t="s">
        <v>1083</v>
      </c>
    </row>
  </sheetData>
  <conditionalFormatting sqref="F2:F17">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7" xr:uid="{00000000-0002-0000-1000-000000000000}">
      <formula1>"Not Started,In Progress,Compliant,Not Applicable"</formula1>
      <formula2>0</formula2>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26"/>
  <sheetViews>
    <sheetView topLeftCell="A9" zoomScale="80" zoomScaleNormal="80" workbookViewId="0">
      <pane ySplit="1" topLeftCell="A10" activePane="bottomLeft" state="frozen"/>
      <selection pane="bottomLeft" activeCell="H21" sqref="H21"/>
    </sheetView>
  </sheetViews>
  <sheetFormatPr defaultColWidth="8.44140625" defaultRowHeight="14.4" x14ac:dyDescent="0.3"/>
  <cols>
    <col min="1" max="1" width="12" customWidth="1"/>
    <col min="2" max="2" width="30" customWidth="1"/>
    <col min="3" max="3" width="12" customWidth="1"/>
    <col min="4" max="4" width="78" customWidth="1"/>
    <col min="5" max="5" width="8" customWidth="1"/>
    <col min="6" max="6" width="16" customWidth="1"/>
    <col min="7" max="7" width="70" customWidth="1"/>
    <col min="8" max="8" width="55" customWidth="1"/>
  </cols>
  <sheetData>
    <row r="1" spans="1:8" ht="27.9" customHeight="1" x14ac:dyDescent="0.3">
      <c r="A1" s="14" t="s">
        <v>101</v>
      </c>
      <c r="B1" s="12" t="s">
        <v>102</v>
      </c>
      <c r="C1" s="12" t="s">
        <v>103</v>
      </c>
      <c r="D1" s="12" t="s">
        <v>104</v>
      </c>
      <c r="E1" s="12" t="s">
        <v>105</v>
      </c>
      <c r="F1" s="12" t="s">
        <v>106</v>
      </c>
      <c r="G1" s="12" t="s">
        <v>107</v>
      </c>
      <c r="H1" s="12" t="s">
        <v>108</v>
      </c>
    </row>
    <row r="2" spans="1:8" ht="18" customHeight="1" x14ac:dyDescent="0.3">
      <c r="A2" s="19" t="s">
        <v>1113</v>
      </c>
      <c r="B2" s="19" t="s">
        <v>1114</v>
      </c>
      <c r="C2" s="19"/>
      <c r="D2" s="19"/>
      <c r="E2" s="19"/>
      <c r="F2" s="19"/>
      <c r="G2" s="19"/>
      <c r="H2" s="19"/>
    </row>
    <row r="3" spans="1:8" ht="30" customHeight="1" x14ac:dyDescent="0.3">
      <c r="A3" s="20" t="s">
        <v>1113</v>
      </c>
      <c r="B3" s="20" t="s">
        <v>1114</v>
      </c>
      <c r="C3" s="20" t="s">
        <v>1115</v>
      </c>
      <c r="D3" s="20" t="s">
        <v>1116</v>
      </c>
      <c r="E3" s="25">
        <v>1</v>
      </c>
      <c r="F3" s="24" t="s">
        <v>23</v>
      </c>
      <c r="G3" s="20" t="s">
        <v>1117</v>
      </c>
      <c r="H3" s="20" t="s">
        <v>1118</v>
      </c>
    </row>
    <row r="4" spans="1:8" ht="30" customHeight="1" x14ac:dyDescent="0.3">
      <c r="A4" s="23" t="s">
        <v>1113</v>
      </c>
      <c r="B4" s="23" t="s">
        <v>1114</v>
      </c>
      <c r="C4" s="23" t="s">
        <v>1119</v>
      </c>
      <c r="D4" s="23" t="s">
        <v>1120</v>
      </c>
      <c r="E4" s="21">
        <v>2</v>
      </c>
      <c r="F4" s="24" t="s">
        <v>23</v>
      </c>
      <c r="G4" s="23" t="s">
        <v>1121</v>
      </c>
      <c r="H4" s="23" t="s">
        <v>1122</v>
      </c>
    </row>
    <row r="5" spans="1:8" ht="30" customHeight="1" x14ac:dyDescent="0.3">
      <c r="A5" s="20" t="s">
        <v>1113</v>
      </c>
      <c r="B5" s="20" t="s">
        <v>1114</v>
      </c>
      <c r="C5" s="20" t="s">
        <v>1123</v>
      </c>
      <c r="D5" s="20" t="s">
        <v>1124</v>
      </c>
      <c r="E5" s="21">
        <v>2</v>
      </c>
      <c r="F5" s="24" t="s">
        <v>23</v>
      </c>
      <c r="G5" s="20" t="s">
        <v>1125</v>
      </c>
      <c r="H5" s="20" t="s">
        <v>1126</v>
      </c>
    </row>
    <row r="6" spans="1:8" ht="30" customHeight="1" x14ac:dyDescent="0.3">
      <c r="A6" s="23" t="s">
        <v>1113</v>
      </c>
      <c r="B6" s="23" t="s">
        <v>1114</v>
      </c>
      <c r="C6" s="23" t="s">
        <v>1127</v>
      </c>
      <c r="D6" s="23" t="s">
        <v>1128</v>
      </c>
      <c r="E6" s="27">
        <v>3</v>
      </c>
      <c r="F6" s="28" t="s">
        <v>27</v>
      </c>
      <c r="G6" s="23" t="s">
        <v>1129</v>
      </c>
      <c r="H6" s="23" t="s">
        <v>151</v>
      </c>
    </row>
    <row r="7" spans="1:8" ht="30" customHeight="1" x14ac:dyDescent="0.3">
      <c r="A7" s="20" t="s">
        <v>1113</v>
      </c>
      <c r="B7" s="20" t="s">
        <v>1114</v>
      </c>
      <c r="C7" s="20" t="s">
        <v>1130</v>
      </c>
      <c r="D7" s="20" t="s">
        <v>1131</v>
      </c>
      <c r="E7" s="27">
        <v>3</v>
      </c>
      <c r="F7" s="24" t="s">
        <v>23</v>
      </c>
      <c r="G7" s="20" t="s">
        <v>1132</v>
      </c>
      <c r="H7" s="20" t="s">
        <v>1133</v>
      </c>
    </row>
    <row r="8" spans="1:8" ht="18" customHeight="1" x14ac:dyDescent="0.3">
      <c r="A8" s="19" t="s">
        <v>1134</v>
      </c>
      <c r="B8" s="19" t="s">
        <v>1135</v>
      </c>
      <c r="C8" s="19"/>
      <c r="D8" s="19"/>
      <c r="E8" s="19"/>
      <c r="F8" s="19"/>
      <c r="G8" s="19"/>
      <c r="H8" s="19"/>
    </row>
    <row r="9" spans="1:8" ht="30" customHeight="1" x14ac:dyDescent="0.3">
      <c r="A9" s="20" t="s">
        <v>1134</v>
      </c>
      <c r="B9" s="20" t="s">
        <v>1135</v>
      </c>
      <c r="C9" s="20" t="s">
        <v>1136</v>
      </c>
      <c r="D9" s="20" t="s">
        <v>1137</v>
      </c>
      <c r="E9" s="25">
        <v>1</v>
      </c>
      <c r="F9" s="24" t="s">
        <v>23</v>
      </c>
      <c r="G9" s="20" t="s">
        <v>1138</v>
      </c>
      <c r="H9" s="20" t="s">
        <v>1139</v>
      </c>
    </row>
    <row r="10" spans="1:8" ht="30" customHeight="1" x14ac:dyDescent="0.3">
      <c r="A10" s="23" t="s">
        <v>1134</v>
      </c>
      <c r="B10" s="23" t="s">
        <v>1135</v>
      </c>
      <c r="C10" s="23" t="s">
        <v>1140</v>
      </c>
      <c r="D10" s="23" t="s">
        <v>1141</v>
      </c>
      <c r="E10" s="21">
        <v>2</v>
      </c>
      <c r="F10" s="24" t="s">
        <v>23</v>
      </c>
      <c r="G10" s="23" t="s">
        <v>1142</v>
      </c>
      <c r="H10" s="23" t="s">
        <v>1143</v>
      </c>
    </row>
    <row r="11" spans="1:8" ht="30" customHeight="1" x14ac:dyDescent="0.3">
      <c r="A11" s="20" t="s">
        <v>1134</v>
      </c>
      <c r="B11" s="20" t="s">
        <v>1135</v>
      </c>
      <c r="C11" s="20" t="s">
        <v>1144</v>
      </c>
      <c r="D11" s="20" t="s">
        <v>1145</v>
      </c>
      <c r="E11" s="21">
        <v>2</v>
      </c>
      <c r="F11" s="28" t="s">
        <v>27</v>
      </c>
      <c r="G11" s="20" t="s">
        <v>1146</v>
      </c>
      <c r="H11" s="20" t="s">
        <v>151</v>
      </c>
    </row>
    <row r="12" spans="1:8" ht="30" customHeight="1" x14ac:dyDescent="0.3">
      <c r="A12" s="23" t="s">
        <v>1134</v>
      </c>
      <c r="B12" s="23" t="s">
        <v>1135</v>
      </c>
      <c r="C12" s="23" t="s">
        <v>1147</v>
      </c>
      <c r="D12" s="23" t="s">
        <v>1148</v>
      </c>
      <c r="E12" s="27">
        <v>3</v>
      </c>
      <c r="F12" s="28" t="s">
        <v>27</v>
      </c>
      <c r="G12" s="23" t="s">
        <v>1149</v>
      </c>
      <c r="H12" s="23" t="s">
        <v>151</v>
      </c>
    </row>
    <row r="13" spans="1:8" ht="30" customHeight="1" x14ac:dyDescent="0.3">
      <c r="A13" s="20" t="s">
        <v>1134</v>
      </c>
      <c r="B13" s="20" t="s">
        <v>1135</v>
      </c>
      <c r="C13" s="20" t="s">
        <v>1150</v>
      </c>
      <c r="D13" s="20" t="s">
        <v>1151</v>
      </c>
      <c r="E13" s="27">
        <v>3</v>
      </c>
      <c r="F13" s="24" t="s">
        <v>23</v>
      </c>
      <c r="G13" s="20" t="s">
        <v>1152</v>
      </c>
      <c r="H13" s="20" t="s">
        <v>1153</v>
      </c>
    </row>
    <row r="14" spans="1:8" ht="18" customHeight="1" x14ac:dyDescent="0.3">
      <c r="A14" s="19" t="s">
        <v>1154</v>
      </c>
      <c r="B14" s="19" t="s">
        <v>1155</v>
      </c>
      <c r="C14" s="19"/>
      <c r="D14" s="19"/>
      <c r="E14" s="19"/>
      <c r="F14" s="19"/>
      <c r="G14" s="19"/>
      <c r="H14" s="19"/>
    </row>
    <row r="15" spans="1:8" ht="30" customHeight="1" x14ac:dyDescent="0.3">
      <c r="A15" s="20" t="s">
        <v>1154</v>
      </c>
      <c r="B15" s="20" t="s">
        <v>1155</v>
      </c>
      <c r="C15" s="20" t="s">
        <v>1156</v>
      </c>
      <c r="D15" s="20" t="s">
        <v>1157</v>
      </c>
      <c r="E15" s="25">
        <v>1</v>
      </c>
      <c r="F15" s="22" t="s">
        <v>21</v>
      </c>
      <c r="G15" s="20" t="s">
        <v>1158</v>
      </c>
      <c r="H15" s="20" t="s">
        <v>1159</v>
      </c>
    </row>
    <row r="16" spans="1:8" ht="30" customHeight="1" x14ac:dyDescent="0.3">
      <c r="A16" s="23" t="s">
        <v>1154</v>
      </c>
      <c r="B16" s="23" t="s">
        <v>1155</v>
      </c>
      <c r="C16" s="23" t="s">
        <v>1160</v>
      </c>
      <c r="D16" s="23" t="s">
        <v>1161</v>
      </c>
      <c r="E16" s="21">
        <v>2</v>
      </c>
      <c r="F16" s="26" t="s">
        <v>25</v>
      </c>
      <c r="G16" s="23" t="s">
        <v>123</v>
      </c>
      <c r="H16" s="23" t="s">
        <v>124</v>
      </c>
    </row>
    <row r="17" spans="1:8" ht="30" customHeight="1" x14ac:dyDescent="0.3">
      <c r="A17" s="20" t="s">
        <v>1154</v>
      </c>
      <c r="B17" s="20" t="s">
        <v>1155</v>
      </c>
      <c r="C17" s="20" t="s">
        <v>1162</v>
      </c>
      <c r="D17" s="20" t="s">
        <v>1163</v>
      </c>
      <c r="E17" s="21">
        <v>2</v>
      </c>
      <c r="F17" s="22" t="s">
        <v>21</v>
      </c>
      <c r="G17" s="20" t="s">
        <v>1164</v>
      </c>
      <c r="H17" s="20" t="s">
        <v>1094</v>
      </c>
    </row>
    <row r="18" spans="1:8" ht="30" customHeight="1" x14ac:dyDescent="0.3">
      <c r="A18" s="23" t="s">
        <v>1154</v>
      </c>
      <c r="B18" s="23" t="s">
        <v>1155</v>
      </c>
      <c r="C18" s="23" t="s">
        <v>1165</v>
      </c>
      <c r="D18" s="23" t="s">
        <v>1166</v>
      </c>
      <c r="E18" s="21">
        <v>2</v>
      </c>
      <c r="F18" s="28" t="s">
        <v>27</v>
      </c>
      <c r="G18" s="23" t="s">
        <v>1167</v>
      </c>
      <c r="H18" s="23" t="s">
        <v>1168</v>
      </c>
    </row>
    <row r="19" spans="1:8" ht="30" customHeight="1" x14ac:dyDescent="0.3">
      <c r="A19" s="20" t="s">
        <v>1154</v>
      </c>
      <c r="B19" s="20" t="s">
        <v>1155</v>
      </c>
      <c r="C19" s="20" t="s">
        <v>1169</v>
      </c>
      <c r="D19" s="20" t="s">
        <v>1170</v>
      </c>
      <c r="E19" s="21">
        <v>2</v>
      </c>
      <c r="F19" s="24" t="s">
        <v>23</v>
      </c>
      <c r="G19" s="20" t="s">
        <v>1171</v>
      </c>
      <c r="H19" s="20" t="s">
        <v>1172</v>
      </c>
    </row>
    <row r="20" spans="1:8" ht="30" customHeight="1" x14ac:dyDescent="0.3">
      <c r="A20" s="23" t="s">
        <v>1154</v>
      </c>
      <c r="B20" s="23" t="s">
        <v>1155</v>
      </c>
      <c r="C20" s="23" t="s">
        <v>1173</v>
      </c>
      <c r="D20" s="23" t="s">
        <v>1174</v>
      </c>
      <c r="E20" s="21">
        <v>2</v>
      </c>
      <c r="F20" s="26" t="s">
        <v>25</v>
      </c>
      <c r="G20" s="23" t="s">
        <v>123</v>
      </c>
      <c r="H20" s="23" t="s">
        <v>124</v>
      </c>
    </row>
    <row r="21" spans="1:8" ht="30" customHeight="1" x14ac:dyDescent="0.3">
      <c r="A21" s="20" t="s">
        <v>1154</v>
      </c>
      <c r="B21" s="20" t="s">
        <v>1155</v>
      </c>
      <c r="C21" s="20" t="s">
        <v>1175</v>
      </c>
      <c r="D21" s="20" t="s">
        <v>1176</v>
      </c>
      <c r="E21" s="21">
        <v>2</v>
      </c>
      <c r="F21" s="28" t="s">
        <v>27</v>
      </c>
      <c r="G21" s="20" t="s">
        <v>1177</v>
      </c>
      <c r="H21" s="20" t="s">
        <v>1168</v>
      </c>
    </row>
    <row r="22" spans="1:8" ht="18" customHeight="1" x14ac:dyDescent="0.3">
      <c r="A22" s="19" t="s">
        <v>1178</v>
      </c>
      <c r="B22" s="19" t="s">
        <v>1179</v>
      </c>
      <c r="C22" s="19"/>
      <c r="D22" s="19"/>
      <c r="E22" s="19"/>
      <c r="F22" s="19"/>
      <c r="G22" s="19"/>
      <c r="H22" s="19"/>
    </row>
    <row r="23" spans="1:8" ht="30" customHeight="1" x14ac:dyDescent="0.3">
      <c r="A23" s="20" t="s">
        <v>1178</v>
      </c>
      <c r="B23" s="20" t="s">
        <v>1179</v>
      </c>
      <c r="C23" s="20" t="s">
        <v>1180</v>
      </c>
      <c r="D23" s="20" t="s">
        <v>1181</v>
      </c>
      <c r="E23" s="27">
        <v>3</v>
      </c>
      <c r="F23" s="28" t="s">
        <v>27</v>
      </c>
      <c r="G23" s="20" t="s">
        <v>1182</v>
      </c>
      <c r="H23" s="20" t="s">
        <v>1059</v>
      </c>
    </row>
    <row r="24" spans="1:8" ht="30" customHeight="1" x14ac:dyDescent="0.3">
      <c r="A24" s="23" t="s">
        <v>1178</v>
      </c>
      <c r="B24" s="23" t="s">
        <v>1179</v>
      </c>
      <c r="C24" s="23" t="s">
        <v>1183</v>
      </c>
      <c r="D24" s="23" t="s">
        <v>1184</v>
      </c>
      <c r="E24" s="27">
        <v>3</v>
      </c>
      <c r="F24" s="28" t="s">
        <v>27</v>
      </c>
      <c r="G24" s="23" t="s">
        <v>1182</v>
      </c>
      <c r="H24" s="23" t="s">
        <v>1059</v>
      </c>
    </row>
    <row r="25" spans="1:8" ht="30" customHeight="1" x14ac:dyDescent="0.3">
      <c r="A25" s="20" t="s">
        <v>1178</v>
      </c>
      <c r="B25" s="20" t="s">
        <v>1179</v>
      </c>
      <c r="C25" s="20" t="s">
        <v>1185</v>
      </c>
      <c r="D25" s="20" t="s">
        <v>1186</v>
      </c>
      <c r="E25" s="27">
        <v>3</v>
      </c>
      <c r="F25" s="28" t="s">
        <v>27</v>
      </c>
      <c r="G25" s="20" t="s">
        <v>1182</v>
      </c>
      <c r="H25" s="20" t="s">
        <v>1059</v>
      </c>
    </row>
    <row r="26" spans="1:8" ht="30" customHeight="1" x14ac:dyDescent="0.3">
      <c r="A26" s="23" t="s">
        <v>1178</v>
      </c>
      <c r="B26" s="23" t="s">
        <v>1179</v>
      </c>
      <c r="C26" s="23" t="s">
        <v>1187</v>
      </c>
      <c r="D26" s="23" t="s">
        <v>1188</v>
      </c>
      <c r="E26" s="27">
        <v>3</v>
      </c>
      <c r="F26" s="28" t="s">
        <v>27</v>
      </c>
      <c r="G26" s="23" t="s">
        <v>1182</v>
      </c>
      <c r="H26" s="23" t="s">
        <v>1059</v>
      </c>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1100-000000000000}">
      <formula1>"Not Started,In Progress,Compliant,Not Applicable"</formula1>
      <formula2>0</formula2>
    </dataValidation>
  </dataValidations>
  <pageMargins left="0.7" right="0.7"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3"/>
  <sheetViews>
    <sheetView zoomScale="70" zoomScaleNormal="70" workbookViewId="0">
      <pane ySplit="1" topLeftCell="A2" activePane="bottomLeft" state="frozen"/>
      <selection pane="bottomLeft" activeCell="G23" sqref="G23"/>
    </sheetView>
  </sheetViews>
  <sheetFormatPr defaultColWidth="8.44140625" defaultRowHeight="14.4" x14ac:dyDescent="0.3"/>
  <cols>
    <col min="1" max="1" width="12" customWidth="1"/>
    <col min="2" max="2" width="30" customWidth="1"/>
    <col min="3" max="3" width="12" customWidth="1"/>
    <col min="4" max="4" width="78" customWidth="1"/>
    <col min="5" max="5" width="8" customWidth="1"/>
    <col min="6" max="6" width="16" customWidth="1"/>
    <col min="7" max="7" width="70" customWidth="1"/>
    <col min="8" max="8" width="55" customWidth="1"/>
  </cols>
  <sheetData>
    <row r="1" spans="1:8" ht="27.9" customHeight="1" x14ac:dyDescent="0.3">
      <c r="A1" s="12" t="s">
        <v>101</v>
      </c>
      <c r="B1" s="12" t="s">
        <v>102</v>
      </c>
      <c r="C1" s="12" t="s">
        <v>103</v>
      </c>
      <c r="D1" s="12" t="s">
        <v>104</v>
      </c>
      <c r="E1" s="12" t="s">
        <v>105</v>
      </c>
      <c r="F1" s="12" t="s">
        <v>106</v>
      </c>
      <c r="G1" s="12" t="s">
        <v>107</v>
      </c>
      <c r="H1" s="12" t="s">
        <v>108</v>
      </c>
    </row>
    <row r="2" spans="1:8" ht="18" customHeight="1" x14ac:dyDescent="0.3">
      <c r="A2" s="19" t="s">
        <v>1189</v>
      </c>
      <c r="B2" s="19" t="s">
        <v>1190</v>
      </c>
      <c r="C2" s="19"/>
      <c r="D2" s="19"/>
      <c r="E2" s="19"/>
      <c r="F2" s="19"/>
      <c r="G2" s="19"/>
      <c r="H2" s="19"/>
    </row>
    <row r="3" spans="1:8" ht="30" customHeight="1" x14ac:dyDescent="0.3">
      <c r="A3" s="20" t="s">
        <v>1189</v>
      </c>
      <c r="B3" s="20" t="s">
        <v>1190</v>
      </c>
      <c r="C3" s="20" t="s">
        <v>1191</v>
      </c>
      <c r="D3" s="20" t="s">
        <v>1192</v>
      </c>
      <c r="E3" s="21">
        <v>2</v>
      </c>
      <c r="F3" s="24" t="s">
        <v>23</v>
      </c>
      <c r="G3" s="20" t="s">
        <v>1193</v>
      </c>
      <c r="H3" s="20" t="s">
        <v>1194</v>
      </c>
    </row>
    <row r="4" spans="1:8" ht="18" customHeight="1" x14ac:dyDescent="0.3">
      <c r="A4" s="19" t="s">
        <v>1195</v>
      </c>
      <c r="B4" s="19" t="s">
        <v>1196</v>
      </c>
      <c r="C4" s="19"/>
      <c r="D4" s="19"/>
      <c r="E4" s="19"/>
      <c r="F4" s="19"/>
      <c r="G4" s="19"/>
      <c r="H4" s="19"/>
    </row>
    <row r="5" spans="1:8" ht="30" customHeight="1" x14ac:dyDescent="0.3">
      <c r="A5" s="20" t="s">
        <v>1195</v>
      </c>
      <c r="B5" s="20" t="s">
        <v>1196</v>
      </c>
      <c r="C5" s="20" t="s">
        <v>1197</v>
      </c>
      <c r="D5" s="20" t="s">
        <v>1198</v>
      </c>
      <c r="E5" s="21">
        <v>2</v>
      </c>
      <c r="F5" s="22" t="s">
        <v>21</v>
      </c>
      <c r="G5" s="20" t="s">
        <v>1199</v>
      </c>
      <c r="H5" s="20" t="s">
        <v>1200</v>
      </c>
    </row>
    <row r="6" spans="1:8" ht="30" customHeight="1" x14ac:dyDescent="0.3">
      <c r="A6" s="23" t="s">
        <v>1195</v>
      </c>
      <c r="B6" s="23" t="s">
        <v>1196</v>
      </c>
      <c r="C6" s="23" t="s">
        <v>1201</v>
      </c>
      <c r="D6" s="23" t="s">
        <v>1202</v>
      </c>
      <c r="E6" s="21">
        <v>2</v>
      </c>
      <c r="F6" s="24" t="s">
        <v>23</v>
      </c>
      <c r="G6" s="23" t="s">
        <v>1203</v>
      </c>
      <c r="H6" s="23" t="s">
        <v>1204</v>
      </c>
    </row>
    <row r="7" spans="1:8" ht="30" customHeight="1" x14ac:dyDescent="0.3">
      <c r="A7" s="20" t="s">
        <v>1195</v>
      </c>
      <c r="B7" s="20" t="s">
        <v>1196</v>
      </c>
      <c r="C7" s="20" t="s">
        <v>1205</v>
      </c>
      <c r="D7" s="20" t="s">
        <v>1206</v>
      </c>
      <c r="E7" s="21">
        <v>2</v>
      </c>
      <c r="F7" s="28" t="s">
        <v>27</v>
      </c>
      <c r="G7" s="20" t="s">
        <v>1207</v>
      </c>
      <c r="H7" s="20" t="s">
        <v>1052</v>
      </c>
    </row>
    <row r="8" spans="1:8" ht="30" customHeight="1" x14ac:dyDescent="0.3">
      <c r="A8" s="23" t="s">
        <v>1195</v>
      </c>
      <c r="B8" s="23" t="s">
        <v>1196</v>
      </c>
      <c r="C8" s="23" t="s">
        <v>1208</v>
      </c>
      <c r="D8" s="23" t="s">
        <v>1209</v>
      </c>
      <c r="E8" s="21">
        <v>2</v>
      </c>
      <c r="F8" s="28" t="s">
        <v>27</v>
      </c>
      <c r="G8" s="23" t="s">
        <v>1210</v>
      </c>
      <c r="H8" s="23" t="s">
        <v>1052</v>
      </c>
    </row>
    <row r="9" spans="1:8" ht="30" customHeight="1" x14ac:dyDescent="0.3">
      <c r="A9" s="20" t="s">
        <v>1195</v>
      </c>
      <c r="B9" s="20" t="s">
        <v>1196</v>
      </c>
      <c r="C9" s="20" t="s">
        <v>1211</v>
      </c>
      <c r="D9" s="20" t="s">
        <v>1212</v>
      </c>
      <c r="E9" s="21">
        <v>2</v>
      </c>
      <c r="F9" s="22" t="s">
        <v>21</v>
      </c>
      <c r="G9" s="20" t="s">
        <v>1213</v>
      </c>
      <c r="H9" s="20" t="s">
        <v>1214</v>
      </c>
    </row>
    <row r="10" spans="1:8" ht="18" customHeight="1" x14ac:dyDescent="0.3">
      <c r="A10" s="19" t="s">
        <v>1215</v>
      </c>
      <c r="B10" s="19" t="s">
        <v>1216</v>
      </c>
      <c r="C10" s="19"/>
      <c r="D10" s="19"/>
      <c r="E10" s="19"/>
      <c r="F10" s="19"/>
      <c r="G10" s="19"/>
      <c r="H10" s="19"/>
    </row>
    <row r="11" spans="1:8" ht="30" customHeight="1" x14ac:dyDescent="0.3">
      <c r="A11" s="20" t="s">
        <v>1215</v>
      </c>
      <c r="B11" s="20" t="s">
        <v>1216</v>
      </c>
      <c r="C11" s="20" t="s">
        <v>1217</v>
      </c>
      <c r="D11" s="20" t="s">
        <v>1218</v>
      </c>
      <c r="E11" s="21">
        <v>2</v>
      </c>
      <c r="F11" s="24" t="s">
        <v>23</v>
      </c>
      <c r="G11" s="20" t="s">
        <v>1219</v>
      </c>
      <c r="H11" s="20" t="s">
        <v>1220</v>
      </c>
    </row>
    <row r="12" spans="1:8" ht="30" customHeight="1" x14ac:dyDescent="0.3">
      <c r="A12" s="23" t="s">
        <v>1215</v>
      </c>
      <c r="B12" s="23" t="s">
        <v>1216</v>
      </c>
      <c r="C12" s="23" t="s">
        <v>1221</v>
      </c>
      <c r="D12" s="23" t="s">
        <v>1222</v>
      </c>
      <c r="E12" s="21">
        <v>2</v>
      </c>
      <c r="F12" s="24" t="s">
        <v>23</v>
      </c>
      <c r="G12" s="23" t="s">
        <v>1223</v>
      </c>
      <c r="H12" s="23" t="s">
        <v>1224</v>
      </c>
    </row>
    <row r="13" spans="1:8" ht="30" customHeight="1" x14ac:dyDescent="0.3">
      <c r="A13" s="20" t="s">
        <v>1215</v>
      </c>
      <c r="B13" s="20" t="s">
        <v>1216</v>
      </c>
      <c r="C13" s="20" t="s">
        <v>1225</v>
      </c>
      <c r="D13" s="20" t="s">
        <v>1226</v>
      </c>
      <c r="E13" s="21">
        <v>2</v>
      </c>
      <c r="F13" s="22" t="s">
        <v>21</v>
      </c>
      <c r="G13" s="20" t="s">
        <v>1227</v>
      </c>
      <c r="H13" s="20" t="s">
        <v>1228</v>
      </c>
    </row>
    <row r="14" spans="1:8" ht="30" customHeight="1" x14ac:dyDescent="0.3">
      <c r="A14" s="23" t="s">
        <v>1215</v>
      </c>
      <c r="B14" s="23" t="s">
        <v>1216</v>
      </c>
      <c r="C14" s="23" t="s">
        <v>1229</v>
      </c>
      <c r="D14" s="23" t="s">
        <v>1230</v>
      </c>
      <c r="E14" s="21">
        <v>2</v>
      </c>
      <c r="F14" s="28" t="s">
        <v>27</v>
      </c>
      <c r="G14" s="23" t="s">
        <v>1231</v>
      </c>
      <c r="H14" s="23" t="s">
        <v>1052</v>
      </c>
    </row>
    <row r="15" spans="1:8" ht="18" customHeight="1" x14ac:dyDescent="0.3">
      <c r="A15" s="19" t="s">
        <v>1232</v>
      </c>
      <c r="B15" s="19" t="s">
        <v>1233</v>
      </c>
      <c r="C15" s="19"/>
      <c r="D15" s="19"/>
      <c r="E15" s="19"/>
      <c r="F15" s="19"/>
      <c r="G15" s="19"/>
      <c r="H15" s="19"/>
    </row>
    <row r="16" spans="1:8" ht="30" customHeight="1" x14ac:dyDescent="0.3">
      <c r="A16" s="20" t="s">
        <v>1232</v>
      </c>
      <c r="B16" s="20" t="s">
        <v>1233</v>
      </c>
      <c r="C16" s="20" t="s">
        <v>1234</v>
      </c>
      <c r="D16" s="20" t="s">
        <v>1235</v>
      </c>
      <c r="E16" s="21">
        <v>2</v>
      </c>
      <c r="F16" s="22" t="s">
        <v>21</v>
      </c>
      <c r="G16" s="20" t="s">
        <v>1236</v>
      </c>
      <c r="H16" s="20" t="s">
        <v>1237</v>
      </c>
    </row>
    <row r="17" spans="1:8" ht="30" customHeight="1" x14ac:dyDescent="0.3">
      <c r="A17" s="23" t="s">
        <v>1232</v>
      </c>
      <c r="B17" s="23" t="s">
        <v>1233</v>
      </c>
      <c r="C17" s="23" t="s">
        <v>1238</v>
      </c>
      <c r="D17" s="23" t="s">
        <v>1239</v>
      </c>
      <c r="E17" s="21">
        <v>2</v>
      </c>
      <c r="F17" s="24" t="s">
        <v>23</v>
      </c>
      <c r="G17" s="23" t="s">
        <v>1240</v>
      </c>
      <c r="H17" s="23" t="s">
        <v>1241</v>
      </c>
    </row>
    <row r="18" spans="1:8" ht="30" customHeight="1" x14ac:dyDescent="0.3">
      <c r="A18" s="20" t="s">
        <v>1232</v>
      </c>
      <c r="B18" s="20" t="s">
        <v>1233</v>
      </c>
      <c r="C18" s="20" t="s">
        <v>1242</v>
      </c>
      <c r="D18" s="20" t="s">
        <v>1243</v>
      </c>
      <c r="E18" s="21">
        <v>2</v>
      </c>
      <c r="F18" s="28" t="s">
        <v>27</v>
      </c>
      <c r="G18" s="20" t="s">
        <v>1244</v>
      </c>
      <c r="H18" s="20" t="s">
        <v>1052</v>
      </c>
    </row>
    <row r="19" spans="1:8" ht="18" customHeight="1" x14ac:dyDescent="0.3">
      <c r="A19" s="19" t="s">
        <v>1245</v>
      </c>
      <c r="B19" s="19" t="s">
        <v>1246</v>
      </c>
      <c r="C19" s="19"/>
      <c r="D19" s="19"/>
      <c r="E19" s="19"/>
      <c r="F19" s="19"/>
      <c r="G19" s="19"/>
      <c r="H19" s="19"/>
    </row>
    <row r="20" spans="1:8" ht="30" customHeight="1" x14ac:dyDescent="0.3">
      <c r="A20" s="20" t="s">
        <v>1245</v>
      </c>
      <c r="B20" s="20" t="s">
        <v>1246</v>
      </c>
      <c r="C20" s="20" t="s">
        <v>1247</v>
      </c>
      <c r="D20" s="20" t="s">
        <v>1248</v>
      </c>
      <c r="E20" s="21">
        <v>2</v>
      </c>
      <c r="F20" s="22" t="s">
        <v>21</v>
      </c>
      <c r="G20" s="20" t="s">
        <v>1249</v>
      </c>
      <c r="H20" s="20" t="s">
        <v>130</v>
      </c>
    </row>
    <row r="21" spans="1:8" ht="30" customHeight="1" x14ac:dyDescent="0.3">
      <c r="A21" s="23" t="s">
        <v>1245</v>
      </c>
      <c r="B21" s="23" t="s">
        <v>1246</v>
      </c>
      <c r="C21" s="23" t="s">
        <v>1250</v>
      </c>
      <c r="D21" s="23" t="s">
        <v>1251</v>
      </c>
      <c r="E21" s="21">
        <v>2</v>
      </c>
      <c r="F21" s="28" t="s">
        <v>27</v>
      </c>
      <c r="G21" s="23" t="s">
        <v>1252</v>
      </c>
      <c r="H21" s="23" t="s">
        <v>1052</v>
      </c>
    </row>
    <row r="22" spans="1:8" ht="30" customHeight="1" x14ac:dyDescent="0.3">
      <c r="A22" s="20" t="s">
        <v>1245</v>
      </c>
      <c r="B22" s="20" t="s">
        <v>1246</v>
      </c>
      <c r="C22" s="20" t="s">
        <v>1253</v>
      </c>
      <c r="D22" s="20" t="s">
        <v>1254</v>
      </c>
      <c r="E22" s="21">
        <v>2</v>
      </c>
      <c r="F22" s="22" t="s">
        <v>21</v>
      </c>
      <c r="G22" s="20" t="s">
        <v>1255</v>
      </c>
      <c r="H22" s="20" t="s">
        <v>1256</v>
      </c>
    </row>
    <row r="23" spans="1:8" ht="30" customHeight="1" x14ac:dyDescent="0.3">
      <c r="A23" s="23" t="s">
        <v>1245</v>
      </c>
      <c r="B23" s="23" t="s">
        <v>1246</v>
      </c>
      <c r="C23" s="23" t="s">
        <v>1257</v>
      </c>
      <c r="D23" s="23" t="s">
        <v>1258</v>
      </c>
      <c r="E23" s="27">
        <v>3</v>
      </c>
      <c r="F23" s="22" t="s">
        <v>21</v>
      </c>
      <c r="G23" s="23" t="s">
        <v>1259</v>
      </c>
      <c r="H23" s="23" t="s">
        <v>1256</v>
      </c>
    </row>
  </sheetData>
  <conditionalFormatting sqref="F2:F23">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3" xr:uid="{00000000-0002-0000-1200-000000000000}">
      <formula1>"Not Started,In Progress,Compliant,Not Applicable"</formula1>
      <formula2>0</formula2>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N16"/>
  <sheetViews>
    <sheetView zoomScale="60" zoomScaleNormal="60" workbookViewId="0">
      <pane ySplit="1" topLeftCell="A2" activePane="bottomLeft" state="frozen"/>
      <selection activeCell="G23" sqref="G23"/>
      <selection pane="bottomLeft" activeCell="G23" sqref="G23"/>
    </sheetView>
  </sheetViews>
  <sheetFormatPr defaultColWidth="8.44140625" defaultRowHeight="14.4" x14ac:dyDescent="0.3"/>
  <cols>
    <col min="1" max="1" width="12" customWidth="1"/>
    <col min="2" max="2" width="30" customWidth="1"/>
    <col min="3" max="3" width="12" customWidth="1"/>
    <col min="4" max="4" width="78" customWidth="1"/>
    <col min="5" max="5" width="8" customWidth="1"/>
    <col min="6" max="6" width="16" customWidth="1"/>
    <col min="7" max="7" width="70" customWidth="1"/>
    <col min="8" max="8" width="55" customWidth="1"/>
    <col min="14" max="14" width="45" customWidth="1"/>
    <col min="15" max="15" width="25" customWidth="1"/>
  </cols>
  <sheetData>
    <row r="1" spans="1:14" ht="27.9" customHeight="1" x14ac:dyDescent="0.3">
      <c r="A1" s="14" t="s">
        <v>101</v>
      </c>
      <c r="B1" s="12" t="s">
        <v>102</v>
      </c>
      <c r="C1" s="12" t="s">
        <v>103</v>
      </c>
      <c r="D1" s="12" t="s">
        <v>104</v>
      </c>
      <c r="E1" s="12" t="s">
        <v>105</v>
      </c>
      <c r="F1" s="12" t="s">
        <v>106</v>
      </c>
      <c r="G1" s="12" t="s">
        <v>107</v>
      </c>
      <c r="H1" s="12" t="s">
        <v>108</v>
      </c>
    </row>
    <row r="2" spans="1:14" ht="18" customHeight="1" x14ac:dyDescent="0.3">
      <c r="A2" s="19" t="s">
        <v>1260</v>
      </c>
      <c r="B2" s="19" t="s">
        <v>1261</v>
      </c>
      <c r="C2" s="19"/>
      <c r="D2" s="19"/>
      <c r="E2" s="19"/>
      <c r="F2" s="19"/>
      <c r="G2" s="19"/>
      <c r="H2" s="19"/>
    </row>
    <row r="3" spans="1:14" ht="60" customHeight="1" x14ac:dyDescent="0.3">
      <c r="A3" s="20" t="s">
        <v>1260</v>
      </c>
      <c r="B3" s="20" t="s">
        <v>1261</v>
      </c>
      <c r="C3" s="20" t="s">
        <v>1262</v>
      </c>
      <c r="D3" s="20" t="s">
        <v>1263</v>
      </c>
      <c r="E3" s="21">
        <v>2</v>
      </c>
      <c r="F3" s="26" t="s">
        <v>25</v>
      </c>
      <c r="G3" s="20" t="s">
        <v>1264</v>
      </c>
      <c r="H3" s="20" t="s">
        <v>1265</v>
      </c>
    </row>
    <row r="4" spans="1:14" ht="45" customHeight="1" x14ac:dyDescent="0.3">
      <c r="A4" s="23" t="s">
        <v>1260</v>
      </c>
      <c r="B4" s="23" t="s">
        <v>1261</v>
      </c>
      <c r="C4" s="23" t="s">
        <v>1266</v>
      </c>
      <c r="D4" s="23" t="s">
        <v>1267</v>
      </c>
      <c r="E4" s="27">
        <v>3</v>
      </c>
      <c r="F4" s="26" t="s">
        <v>25</v>
      </c>
      <c r="G4" s="23" t="s">
        <v>1264</v>
      </c>
      <c r="H4" s="23" t="s">
        <v>1265</v>
      </c>
    </row>
    <row r="5" spans="1:14" ht="18" customHeight="1" x14ac:dyDescent="0.3">
      <c r="A5" s="19" t="s">
        <v>1268</v>
      </c>
      <c r="B5" s="19" t="s">
        <v>1269</v>
      </c>
      <c r="C5" s="19"/>
      <c r="D5" s="19"/>
      <c r="E5" s="19"/>
      <c r="F5" s="19"/>
      <c r="G5" s="19"/>
      <c r="H5" s="19"/>
      <c r="N5" s="32" t="s">
        <v>1270</v>
      </c>
    </row>
    <row r="6" spans="1:14" ht="45" customHeight="1" x14ac:dyDescent="0.3">
      <c r="A6" s="20" t="s">
        <v>1268</v>
      </c>
      <c r="B6" s="20" t="s">
        <v>1269</v>
      </c>
      <c r="C6" s="20" t="s">
        <v>1271</v>
      </c>
      <c r="D6" s="20" t="s">
        <v>1272</v>
      </c>
      <c r="E6" s="21">
        <v>2</v>
      </c>
      <c r="F6" s="26" t="s">
        <v>25</v>
      </c>
      <c r="G6" s="20" t="s">
        <v>1273</v>
      </c>
      <c r="H6" s="20" t="s">
        <v>1265</v>
      </c>
      <c r="N6" s="13" t="s">
        <v>1274</v>
      </c>
    </row>
    <row r="7" spans="1:14" ht="75" customHeight="1" x14ac:dyDescent="0.3">
      <c r="A7" s="23" t="s">
        <v>1268</v>
      </c>
      <c r="B7" s="23" t="s">
        <v>1269</v>
      </c>
      <c r="C7" s="23" t="s">
        <v>1275</v>
      </c>
      <c r="D7" s="23" t="s">
        <v>1276</v>
      </c>
      <c r="E7" s="21">
        <v>2</v>
      </c>
      <c r="F7" s="26" t="s">
        <v>25</v>
      </c>
      <c r="G7" s="23" t="s">
        <v>1273</v>
      </c>
      <c r="H7" s="23" t="s">
        <v>1265</v>
      </c>
    </row>
    <row r="8" spans="1:14" ht="75" customHeight="1" x14ac:dyDescent="0.3">
      <c r="A8" s="20" t="s">
        <v>1268</v>
      </c>
      <c r="B8" s="20" t="s">
        <v>1269</v>
      </c>
      <c r="C8" s="20" t="s">
        <v>1277</v>
      </c>
      <c r="D8" s="20" t="s">
        <v>1278</v>
      </c>
      <c r="E8" s="21">
        <v>2</v>
      </c>
      <c r="F8" s="26" t="s">
        <v>25</v>
      </c>
      <c r="G8" s="20" t="s">
        <v>1273</v>
      </c>
      <c r="H8" s="20" t="s">
        <v>1265</v>
      </c>
    </row>
    <row r="9" spans="1:14" ht="45" customHeight="1" x14ac:dyDescent="0.3">
      <c r="A9" s="23" t="s">
        <v>1268</v>
      </c>
      <c r="B9" s="23" t="s">
        <v>1269</v>
      </c>
      <c r="C9" s="23" t="s">
        <v>1279</v>
      </c>
      <c r="D9" s="23" t="s">
        <v>1280</v>
      </c>
      <c r="E9" s="21">
        <v>2</v>
      </c>
      <c r="F9" s="26" t="s">
        <v>25</v>
      </c>
      <c r="G9" s="23" t="s">
        <v>1273</v>
      </c>
      <c r="H9" s="23" t="s">
        <v>1265</v>
      </c>
    </row>
    <row r="10" spans="1:14" ht="45" customHeight="1" x14ac:dyDescent="0.3">
      <c r="A10" s="20" t="s">
        <v>1268</v>
      </c>
      <c r="B10" s="20" t="s">
        <v>1269</v>
      </c>
      <c r="C10" s="20" t="s">
        <v>1281</v>
      </c>
      <c r="D10" s="20" t="s">
        <v>1282</v>
      </c>
      <c r="E10" s="27">
        <v>3</v>
      </c>
      <c r="F10" s="26" t="s">
        <v>25</v>
      </c>
      <c r="G10" s="20" t="s">
        <v>1273</v>
      </c>
      <c r="H10" s="20" t="s">
        <v>1265</v>
      </c>
    </row>
    <row r="11" spans="1:14" ht="60" customHeight="1" x14ac:dyDescent="0.3">
      <c r="A11" s="23" t="s">
        <v>1268</v>
      </c>
      <c r="B11" s="23" t="s">
        <v>1269</v>
      </c>
      <c r="C11" s="23" t="s">
        <v>1283</v>
      </c>
      <c r="D11" s="23" t="s">
        <v>1284</v>
      </c>
      <c r="E11" s="27">
        <v>3</v>
      </c>
      <c r="F11" s="26" t="s">
        <v>25</v>
      </c>
      <c r="G11" s="23" t="s">
        <v>1273</v>
      </c>
      <c r="H11" s="23" t="s">
        <v>1265</v>
      </c>
    </row>
    <row r="12" spans="1:14" ht="60" customHeight="1" x14ac:dyDescent="0.3">
      <c r="A12" s="20" t="s">
        <v>1268</v>
      </c>
      <c r="B12" s="20" t="s">
        <v>1269</v>
      </c>
      <c r="C12" s="20" t="s">
        <v>1285</v>
      </c>
      <c r="D12" s="20" t="s">
        <v>1286</v>
      </c>
      <c r="E12" s="27">
        <v>3</v>
      </c>
      <c r="F12" s="26" t="s">
        <v>25</v>
      </c>
      <c r="G12" s="20" t="s">
        <v>1273</v>
      </c>
      <c r="H12" s="20" t="s">
        <v>1265</v>
      </c>
    </row>
    <row r="13" spans="1:14" ht="60" customHeight="1" x14ac:dyDescent="0.3">
      <c r="A13" s="23" t="s">
        <v>1268</v>
      </c>
      <c r="B13" s="23" t="s">
        <v>1269</v>
      </c>
      <c r="C13" s="23" t="s">
        <v>1287</v>
      </c>
      <c r="D13" s="23" t="s">
        <v>1288</v>
      </c>
      <c r="E13" s="27">
        <v>3</v>
      </c>
      <c r="F13" s="26" t="s">
        <v>25</v>
      </c>
      <c r="G13" s="23" t="s">
        <v>1273</v>
      </c>
      <c r="H13" s="23" t="s">
        <v>1265</v>
      </c>
    </row>
    <row r="14" spans="1:14" ht="18" customHeight="1" x14ac:dyDescent="0.3">
      <c r="A14" s="19" t="s">
        <v>1289</v>
      </c>
      <c r="B14" s="19" t="s">
        <v>1290</v>
      </c>
      <c r="C14" s="19"/>
      <c r="D14" s="19"/>
      <c r="E14" s="19"/>
      <c r="F14" s="19"/>
      <c r="G14" s="19"/>
      <c r="H14" s="19"/>
    </row>
    <row r="15" spans="1:14" ht="60" customHeight="1" x14ac:dyDescent="0.3">
      <c r="A15" s="20" t="s">
        <v>1289</v>
      </c>
      <c r="B15" s="20" t="s">
        <v>1290</v>
      </c>
      <c r="C15" s="20" t="s">
        <v>1291</v>
      </c>
      <c r="D15" s="20" t="s">
        <v>1292</v>
      </c>
      <c r="E15" s="21">
        <v>2</v>
      </c>
      <c r="F15" s="26" t="s">
        <v>25</v>
      </c>
      <c r="G15" s="20" t="s">
        <v>1293</v>
      </c>
      <c r="H15" s="20" t="s">
        <v>1265</v>
      </c>
    </row>
    <row r="16" spans="1:14" ht="90" customHeight="1" x14ac:dyDescent="0.3">
      <c r="A16" s="23" t="s">
        <v>1289</v>
      </c>
      <c r="B16" s="23" t="s">
        <v>1290</v>
      </c>
      <c r="C16" s="23" t="s">
        <v>1294</v>
      </c>
      <c r="D16" s="23" t="s">
        <v>1295</v>
      </c>
      <c r="E16" s="21">
        <v>2</v>
      </c>
      <c r="F16" s="26" t="s">
        <v>25</v>
      </c>
      <c r="G16" s="23" t="s">
        <v>1293</v>
      </c>
      <c r="H16" s="23" t="s">
        <v>1265</v>
      </c>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1300-000000000000}">
      <formula1>"Not Started,In Progress,Compliant,Not Applicable"</formula1>
      <formula2>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20</vt:i4>
      </vt:variant>
    </vt:vector>
  </HeadingPairs>
  <TitlesOfParts>
    <vt:vector size="20" baseType="lpstr">
      <vt:lpstr>Summary</vt:lpstr>
      <vt:lpstr>Sprint 1 Evidence</vt:lpstr>
      <vt:lpstr>Assessment Notes</vt:lpstr>
      <vt:lpstr>V1 - Encoding and Sanitization</vt:lpstr>
      <vt:lpstr>V2 - Validation and Business Lo</vt:lpstr>
      <vt:lpstr>V3 - Web Frontend Security</vt:lpstr>
      <vt:lpstr>V4 - API and Web Service</vt:lpstr>
      <vt:lpstr>V5 - File Handling</vt:lpstr>
      <vt:lpstr>V6 - Authentication</vt:lpstr>
      <vt:lpstr>V7 - Session Management</vt:lpstr>
      <vt:lpstr>V8 - Authorization</vt:lpstr>
      <vt:lpstr>V9 - Self-contained Tokens</vt:lpstr>
      <vt:lpstr>V10 - OAuth and OIDC</vt:lpstr>
      <vt:lpstr>V11 - Cryptography</vt:lpstr>
      <vt:lpstr>V12 - Secure Communication</vt:lpstr>
      <vt:lpstr>V13 - Configuration</vt:lpstr>
      <vt:lpstr>V14 - Data Protection</vt:lpstr>
      <vt:lpstr>V15 - Secure Coding and Archite</vt:lpstr>
      <vt:lpstr>V16 - Security Logging and Erro</vt:lpstr>
      <vt:lpstr>V17 - WebRTC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Barbara Raquel De Pinho Silva</cp:lastModifiedBy>
  <dcterms:created xsi:type="dcterms:W3CDTF">2026-04-17T14:46:21Z</dcterms:created>
  <dcterms:modified xsi:type="dcterms:W3CDTF">2026-05-17T17:18:04Z</dcterms:modified>
</cp:coreProperties>
</file>