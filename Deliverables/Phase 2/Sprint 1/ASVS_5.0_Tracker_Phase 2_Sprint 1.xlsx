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xandreVieira\Downloads\"/>
    </mc:Choice>
  </mc:AlternateContent>
  <xr:revisionPtr revIDLastSave="0" documentId="8_{3145FC66-BBDB-4534-92E3-3C87B8B85A70}" xr6:coauthVersionLast="47" xr6:coauthVersionMax="47" xr10:uidLastSave="{00000000-0000-0000-0000-000000000000}"/>
  <bookViews>
    <workbookView xWindow="-120" yWindow="-120" windowWidth="38640" windowHeight="15720" firstSheet="12" activeTab="18" xr2:uid="{00000000-000D-0000-FFFF-FFFF00000000}"/>
  </bookViews>
  <sheets>
    <sheet name="Summary" sheetId="1" r:id="rId1"/>
    <sheet name="Assessment Notes" sheetId="2" r:id="rId2"/>
    <sheet name="V1 - Encoding and Sanitization" sheetId="3" r:id="rId3"/>
    <sheet name="V2 - Validation and Business Lo" sheetId="4" r:id="rId4"/>
    <sheet name="V3 - Web Frontend Security" sheetId="5" r:id="rId5"/>
    <sheet name="V4 - API and Web Service" sheetId="6" r:id="rId6"/>
    <sheet name="V5 - File Handling" sheetId="7" r:id="rId7"/>
    <sheet name="V6 - Authentication" sheetId="8" r:id="rId8"/>
    <sheet name="V7 - Session Management" sheetId="9" r:id="rId9"/>
    <sheet name="V8 - Authorization" sheetId="10" r:id="rId10"/>
    <sheet name="V9 - Self-contained Tokens" sheetId="11" r:id="rId11"/>
    <sheet name="V10 - OAuth and OIDC" sheetId="12" r:id="rId12"/>
    <sheet name="V11 - Cryptography" sheetId="13" r:id="rId13"/>
    <sheet name="V12 - Secure Communication" sheetId="14" r:id="rId14"/>
    <sheet name="V13 - Configuration" sheetId="15" r:id="rId15"/>
    <sheet name="V14 - Data Protection" sheetId="16" r:id="rId16"/>
    <sheet name="V15 - Secure Coding and Archite" sheetId="17" r:id="rId17"/>
    <sheet name="V16 - Security Logging and Erro" sheetId="18" r:id="rId18"/>
    <sheet name="V17 - WebRTC"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E6" i="1" s="1"/>
  <c r="G23" i="1" l="1"/>
  <c r="J23" i="1"/>
  <c r="L23" i="1"/>
  <c r="E23" i="1"/>
  <c r="H6" i="1"/>
  <c r="H23" i="1" s="1"/>
  <c r="M6" i="1"/>
  <c r="M23" i="1" s="1"/>
  <c r="D23" i="1"/>
  <c r="K6" i="1"/>
  <c r="K23" i="1" s="1"/>
</calcChain>
</file>

<file path=xl/sharedStrings.xml><?xml version="1.0" encoding="utf-8"?>
<sst xmlns="http://schemas.openxmlformats.org/spreadsheetml/2006/main" count="2762" uniqueCount="1350">
  <si>
    <t>Section ID</t>
  </si>
  <si>
    <t>Section Name</t>
  </si>
  <si>
    <t>Req ID</t>
  </si>
  <si>
    <t>Description</t>
  </si>
  <si>
    <t>Level</t>
  </si>
  <si>
    <t>Status</t>
  </si>
  <si>
    <t>Observations</t>
  </si>
  <si>
    <t>Reference / Link</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</si>
  <si>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</si>
  <si>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</si>
  <si>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</si>
  <si>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</si>
  <si>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Not Applicable</t>
  </si>
  <si>
    <t>Not applicable – the application does not use TURN servers or NAT traversal mechanisms.</t>
  </si>
  <si>
    <t>DESOFS Phase 1: system scope excludes real-time communication/media services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</si>
  <si>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</si>
  <si>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</si>
  <si>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</si>
  <si>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</si>
  <si>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</si>
  <si>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</si>
  <si>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Not applicable – the application does not process real-time audio/video media or use DTLS/SRTP protocols.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</si>
  <si>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</si>
  <si>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</si>
  <si>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</si>
  <si>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</si>
  <si>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</si>
  <si>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</si>
  <si>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</si>
  <si>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</si>
  <si>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</si>
  <si>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</si>
  <si>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</si>
  <si>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</si>
  <si>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</si>
  <si>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</si>
  <si>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</si>
  <si>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</si>
  <si>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</si>
  <si>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</si>
  <si>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Not applicable – the application does not implement signaling protocols or real-time communication services.</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</si>
  <si>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</si>
  <si>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</si>
  <si>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</si>
  <si>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</si>
  <si>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</si>
  <si>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</si>
  <si>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</si>
  <si>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</si>
  <si>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</si>
  <si>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</si>
  <si>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</si>
  <si>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</si>
  <si>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</si>
  <si>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</si>
  <si>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</si>
  <si>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</si>
  <si>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</si>
  <si>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</si>
  <si>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</si>
  <si>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</si>
  <si>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</si>
  <si>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</si>
  <si>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</si>
  <si>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</si>
  <si>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</si>
  <si>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</si>
  <si>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</si>
  <si>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</si>
  <si>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</si>
  <si>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</si>
  <si>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</si>
  <si>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</si>
  <si>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</si>
  <si>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</si>
  <si>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</si>
  <si>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Assessment methodology</t>
  </si>
  <si>
    <t>Scope</t>
  </si>
  <si>
    <t>Filled conservatively from the uploaded Phase 1 documents only.</t>
  </si>
  <si>
    <t>GhostReport is treated as a backend-focused whistleblowing API with anonymous reporting, internal staff auth, file upload/storage, and logging.</t>
  </si>
  <si>
    <t>Status logic</t>
  </si>
  <si>
    <t>Compliant = explicitly supported by the uploaded docs.</t>
  </si>
  <si>
    <t>In Progress = clearly relevant / planned, but implementation or config detail is still missing.</t>
  </si>
  <si>
    <t>Not Applicable = out of scope for this backend-only deliverable (for example OAuth/OIDC, WebRTC, many browser-only controls).</t>
  </si>
  <si>
    <t>Important note about the template</t>
  </si>
  <si>
    <t>The Summary sheet counts all requirements, so Not Applicable rows still reduce the displayed percentages.</t>
  </si>
  <si>
    <t>Primary sources used</t>
  </si>
  <si>
    <t>DESOFS - Phase 1.docx</t>
  </si>
  <si>
    <t>Project.pdf</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</si>
  <si>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</si>
  <si>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</si>
  <si>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</si>
  <si>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</si>
  <si>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In Progress</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</si>
  <si>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</si>
  <si>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</si>
  <si>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</si>
  <si>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</si>
  <si>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</si>
  <si>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</si>
  <si>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applicable in the current system design.</t>
  </si>
  <si>
    <t>N/A – not in current system scope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</si>
  <si>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</si>
  <si>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</si>
  <si>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</si>
  <si>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</si>
  <si>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</si>
  <si>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</si>
  <si>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</si>
  <si>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</si>
  <si>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</si>
  <si>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</si>
  <si>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</si>
  <si>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</si>
  <si>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</si>
  <si>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</si>
  <si>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</si>
  <si>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</si>
  <si>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</si>
  <si>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</si>
  <si>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Not Started</t>
  </si>
  <si>
    <t>Project.pdf: backend API, 3 roles, OS/file ops, ASVS deliverable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</si>
  <si>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</si>
  <si>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</si>
  <si>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</si>
  <si>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</si>
  <si>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</si>
  <si>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</si>
  <si>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</si>
  <si>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</si>
  <si>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</si>
  <si>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</si>
  <si>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</si>
  <si>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</si>
  <si>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</si>
  <si>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</si>
  <si>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</si>
  <si>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</si>
  <si>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</si>
  <si>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</si>
  <si>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</si>
  <si>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</si>
  <si>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</si>
  <si>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</si>
  <si>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</si>
  <si>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</si>
  <si>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</si>
  <si>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</si>
  <si>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</si>
  <si>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</si>
  <si>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</si>
  <si>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</si>
  <si>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</si>
  <si>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</si>
  <si>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</si>
  <si>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</si>
  <si>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</si>
  <si>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</si>
  <si>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</si>
  <si>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</si>
  <si>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</si>
  <si>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</si>
  <si>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</si>
  <si>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</si>
  <si>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</si>
  <si>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</si>
  <si>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</si>
  <si>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</si>
  <si>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</si>
  <si>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</si>
  <si>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</si>
  <si>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</si>
  <si>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</si>
  <si>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</si>
  <si>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</si>
  <si>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</si>
  <si>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</si>
  <si>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</si>
  <si>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Compliant</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</si>
  <si>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</si>
  <si>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</si>
  <si>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</si>
  <si>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</si>
  <si>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</si>
  <si>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</si>
  <si>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DESOFS Phase 1: DFD/trust boundaries §9; STRIDE §10; mitigations §11</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</si>
  <si>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</si>
  <si>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</si>
  <si>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</si>
  <si>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</si>
  <si>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</si>
  <si>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</si>
  <si>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</si>
  <si>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</si>
  <si>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</si>
  <si>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</si>
  <si>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</si>
  <si>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</si>
  <si>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</si>
  <si>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</si>
  <si>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</si>
  <si>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</si>
  <si>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</si>
  <si>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</si>
  <si>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</si>
  <si>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</si>
  <si>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</si>
  <si>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</si>
  <si>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DESOFS Phase 1: DFD/trust boundaries §9; STRIDE §10; mitigations §13</t>
  </si>
  <si>
    <t>V3.2.2</t>
  </si>
  <si>
    <t>Verify that content intended to be displayed as text, rather than rendered as HTML, is handled using safe rendering functions (such as createTextNode or textContent) to prevent unintended execution of content such as HTML or JavaScript.</t>
  </si>
  <si>
    <t>N/A – frontend/browser functionality not in current system scope</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</si>
  <si>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</si>
  <si>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</si>
  <si>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</si>
  <si>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</si>
  <si>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</si>
  <si>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</si>
  <si>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DESOFS Phase 1: §5.1 RS1-RS3; AC5/AC8/AC11; STRIDE P5/P6; §12 tests</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</si>
  <si>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</si>
  <si>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</si>
  <si>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</si>
  <si>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</si>
  <si>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</si>
  <si>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</si>
  <si>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</si>
  <si>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</si>
  <si>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</si>
  <si>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</si>
  <si>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</si>
  <si>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</si>
  <si>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DESOFS Phase 1: assumptions §2.2 HTTPS; §5.3 RS7; AC9/AC10</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</si>
  <si>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</si>
  <si>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</si>
  <si>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</si>
  <si>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</si>
  <si>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</si>
  <si>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</si>
  <si>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</si>
  <si>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</si>
  <si>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</si>
  <si>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</si>
  <si>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</si>
  <si>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</si>
  <si>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</si>
  <si>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</si>
  <si>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</si>
  <si>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</si>
  <si>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</si>
  <si>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</si>
  <si>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</si>
  <si>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</si>
  <si>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</si>
  <si>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</si>
  <si>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</si>
  <si>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</si>
  <si>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</si>
  <si>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</si>
  <si>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</si>
  <si>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</si>
  <si>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</si>
  <si>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</si>
  <si>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</si>
  <si>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</si>
  <si>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</si>
  <si>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</si>
  <si>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</si>
  <si>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</si>
  <si>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</si>
  <si>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</si>
  <si>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</si>
  <si>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</si>
  <si>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</si>
  <si>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</si>
  <si>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</si>
  <si>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</si>
  <si>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</si>
  <si>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</si>
  <si>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HTTPS is required, but HSTS preload configuration is not defined.</t>
  </si>
  <si>
    <t>V3.7.5</t>
  </si>
  <si>
    <t>Verify that the application behaves as documented (such as warning the user or blocking access) if the browser used to access the application does not support the expected security features.</t>
  </si>
  <si>
    <t>No browser-specific behavior or fallback mechanisms are defined in the design.</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</si>
  <si>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</si>
  <si>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</si>
  <si>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</si>
  <si>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</si>
  <si>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</si>
  <si>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</si>
  <si>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</si>
  <si>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</si>
  <si>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</si>
  <si>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</si>
  <si>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</si>
  <si>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</si>
  <si>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</si>
  <si>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</si>
  <si>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</si>
  <si>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</si>
  <si>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</si>
  <si>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</si>
  <si>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</si>
  <si>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</si>
  <si>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</si>
  <si>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</si>
  <si>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</si>
  <si>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</si>
  <si>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</si>
  <si>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</si>
  <si>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</si>
  <si>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</si>
  <si>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Not applicable – the application does not expose a GraphQL interface.</t>
  </si>
  <si>
    <t>N/A – GraphQL not in current system scope</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</si>
  <si>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</si>
  <si>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</si>
  <si>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</si>
  <si>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</si>
  <si>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</si>
  <si>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</si>
  <si>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Not applicable – the application does not use WebSocket communication.</t>
  </si>
  <si>
    <t>N/A – WebSocket not in current system scope</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</si>
  <si>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</si>
  <si>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</si>
  <si>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</si>
  <si>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</si>
  <si>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WebSocket session management and token handling are not defined in the design.</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</si>
  <si>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</si>
  <si>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</si>
  <si>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</si>
  <si>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</si>
  <si>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</si>
  <si>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</si>
  <si>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</si>
  <si>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</si>
  <si>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</si>
  <si>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</si>
  <si>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DESOFS Phase 1: RF2/RF7/RF8; §5.4 RS9-RS11; AC3/AC6/AC7; STRIDE P2/P3; §12 tests</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</si>
  <si>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</si>
  <si>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</si>
  <si>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</si>
  <si>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</si>
  <si>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Not applicable – the documented upload scope does not include compressed archive handling.</t>
  </si>
  <si>
    <t>N/A – archive upload handling not in current system scope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</si>
  <si>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</si>
  <si>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</si>
  <si>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</si>
  <si>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</si>
  <si>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</si>
  <si>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</si>
  <si>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Not applicable – the design does not include image-processing functionality requiring pixel flood controls.</t>
  </si>
  <si>
    <t>N/A – image processing not in current system scope</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</si>
  <si>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</si>
  <si>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</si>
  <si>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</si>
  <si>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</si>
  <si>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</si>
  <si>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</si>
  <si>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</si>
  <si>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</si>
  <si>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</si>
  <si>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</si>
  <si>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</si>
  <si>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</si>
  <si>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</si>
  <si>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</si>
  <si>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</si>
  <si>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</si>
  <si>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</si>
  <si>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</si>
  <si>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</si>
  <si>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</si>
  <si>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 brute-force protection is identified in the security requirements and tests, but rate-limiting and lockout configuration details are not fully specified.</t>
  </si>
  <si>
    <t>DESOFS Phase 1: §6.1 RS2-RS3; §14.2 tests</t>
  </si>
  <si>
    <t>V6.1.2</t>
  </si>
  <si>
    <t>Verify that a list of context-specific words is documented in order to prevent their use in passwords. The list could include permutations of organization names, product names, system identifiers, project codenames, department or role names, and similar.</t>
  </si>
  <si>
    <t>No context-specific password denylist is defined in the design.</t>
  </si>
  <si>
    <t>DESOFS Phase 1: §6.1 RS2; §6.3 RS8</t>
  </si>
  <si>
    <t>V6.1.3</t>
  </si>
  <si>
    <t>Verify that, if the application includes multiple authentication pathways, these are all documented together with the security controls and authentication strength which must be consistently enforced across them.</t>
  </si>
  <si>
    <t>Only one authenticated pathway for internal users is defined in the design.</t>
  </si>
  <si>
    <t>DESOFS Phase 1: §2.1 Stakeholders; §6.1 RS2</t>
  </si>
  <si>
    <t>V6.2</t>
  </si>
  <si>
    <t>Password Security</t>
  </si>
  <si>
    <t>V6.2.1</t>
  </si>
  <si>
    <t>Verify that user set passwords are at least 8 characters in length although a minimum of 15 characters is strongly recommended.</t>
  </si>
  <si>
    <t>Internal user authentication is in scope, but the password policy is not explicitly defined in the design.</t>
  </si>
  <si>
    <t>V6.2.2</t>
  </si>
  <si>
    <t>Verify that users can change their password.</t>
  </si>
  <si>
    <t>DESOFS Phase 1: §6.1 RS2; §6.3 RS9</t>
  </si>
  <si>
    <t>V6.2.3</t>
  </si>
  <si>
    <t>Verify that password change functionality requires the user's current and new password.</t>
  </si>
  <si>
    <t>DESOFS Phase 1: §6.1 RS2; §6.3 RS10</t>
  </si>
  <si>
    <t>V6.2.4</t>
  </si>
  <si>
    <t>Verify that passwords submitted during account registration or password change are checked against an available set of, at least, the top 3000 passwords which match the application's password policy, e.g. minimum length.</t>
  </si>
  <si>
    <t>DESOFS Phase 1: §6.1 RS2; §6.3 RS11</t>
  </si>
  <si>
    <t>V6.2.5</t>
  </si>
  <si>
    <t>Verify that passwords of any composition can be used, without rules limiting the type of characters permitted. There must be no requirement for a minimum number of upper or lower case characters, numbers, or special characters.</t>
  </si>
  <si>
    <t>DESOFS Phase 1: §6.1 RS2; §6.3 RS12</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</si>
  <si>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</si>
  <si>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</si>
  <si>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</si>
  <si>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</si>
  <si>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</si>
  <si>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</si>
  <si>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Password handling requirements for internal users are in scope, but these controls are not explicitly defined in the design.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</si>
  <si>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</si>
  <si>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</si>
  <si>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</si>
  <si>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</si>
  <si>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</si>
  <si>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</si>
  <si>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</si>
  <si>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</si>
  <si>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</si>
  <si>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</si>
  <si>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</si>
  <si>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</si>
  <si>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Brute-force protection is required in the design and covered in the test plan, but thresholds and anti-automation behavior are not fully specified.</t>
  </si>
  <si>
    <t>DESOFS Phase 1: §6.1 RS2; §14.2 tests</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</si>
  <si>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</si>
  <si>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</si>
  <si>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</si>
  <si>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</si>
  <si>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</si>
  <si>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</si>
  <si>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Only one authenticated pathway for staff users is defined in the design.</t>
  </si>
  <si>
    <t>DESOFS Phase 1: §6.1 RS2</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</si>
  <si>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</si>
  <si>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</si>
  <si>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Advanced authentication notification/anti-enumeration controls are relevant but not yet specified.</t>
  </si>
  <si>
    <t>V6.3.6</t>
  </si>
  <si>
    <t>Verify that email is not used as either a single-factor or multi-factor authentication mechanism.</t>
  </si>
  <si>
    <t>DESOFS Phase 1: §6.1 RS2-RS3</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</si>
  <si>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</si>
  <si>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</si>
  <si>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</si>
  <si>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</si>
  <si>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</si>
  <si>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</si>
  <si>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</si>
  <si>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</si>
  <si>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</si>
  <si>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</si>
  <si>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Password hints and security questions are not part of the authentication design.</t>
  </si>
  <si>
    <t>V6.4.3</t>
  </si>
  <si>
    <t>Verify that a secure process for resetting a forgotten password is implemented, that does not bypass any enabled multi-factor authentication mechanisms.</t>
  </si>
  <si>
    <t>Recovery/reset processes for internal users are possible but not yet specified in detail.</t>
  </si>
  <si>
    <t>V6.4.4</t>
  </si>
  <si>
    <t>Verify that if a multi-factor authentication factor is lost, evidence of identity proofing is performed at the same level as during enrollment.</t>
  </si>
  <si>
    <t>MFA recovery is not applicable because MFA is not defined in the current design.</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</si>
  <si>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</si>
  <si>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</si>
  <si>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</si>
  <si>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</si>
  <si>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</si>
  <si>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</si>
  <si>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</si>
  <si>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</si>
  <si>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Not applicable – the current authentication design does not include MFA, out-of-band methods, cryptographic assertions, or external identity providers.</t>
  </si>
  <si>
    <t>N/A – not in current authentication scope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</si>
  <si>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</si>
  <si>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</si>
  <si>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</si>
  <si>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</si>
  <si>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</si>
  <si>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</si>
  <si>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</si>
  <si>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</si>
  <si>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</si>
  <si>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</si>
  <si>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</si>
  <si>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</si>
  <si>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</si>
  <si>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</si>
  <si>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</si>
  <si>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</si>
  <si>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</si>
  <si>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</si>
  <si>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</si>
  <si>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</si>
  <si>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</si>
  <si>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</si>
  <si>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</si>
  <si>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</si>
  <si>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</si>
  <si>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</si>
  <si>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</si>
  <si>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</si>
  <si>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</si>
  <si>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</si>
  <si>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</si>
  <si>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</si>
  <si>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</si>
  <si>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</si>
  <si>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</si>
  <si>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</si>
  <si>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</si>
  <si>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</si>
  <si>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</si>
  <si>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</si>
  <si>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</si>
  <si>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</si>
  <si>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</si>
  <si>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</si>
  <si>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Session tokens with expiration are defined in the design, but inactivity timeout and absolute maximum lifetime values are not explicitly specified.</t>
  </si>
  <si>
    <t>V7.1.2</t>
  </si>
  <si>
    <t>Verify that the documentation defines how many concurrent (parallel) sessions are allowed for one account as well as the intended behaviors and actions to be taken when the maximum number of active sessions is reached.</t>
  </si>
  <si>
    <t>Concurrent-session policy for staff users is not yet documented.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</si>
  <si>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</si>
  <si>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</si>
  <si>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Not applicable – the current session design does not use federated identity or SSO.</t>
  </si>
  <si>
    <t>N/A – federated identity not in current system scope</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</si>
  <si>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</si>
  <si>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</si>
  <si>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</si>
  <si>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</si>
  <si>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</si>
  <si>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</si>
  <si>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</si>
  <si>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</si>
  <si>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</si>
  <si>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</si>
  <si>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</si>
  <si>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</si>
  <si>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</si>
  <si>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</si>
  <si>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</si>
  <si>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</si>
  <si>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</si>
  <si>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</si>
  <si>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</si>
  <si>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</si>
  <si>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</si>
  <si>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</si>
  <si>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</si>
  <si>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</si>
  <si>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Terminate-other-session behavior after auth-factor changes is not yet specified.</t>
  </si>
  <si>
    <t>V7.4.4</t>
  </si>
  <si>
    <t>Verify that all pages that require authentication have easy and visible access to logout functionality.</t>
  </si>
  <si>
    <t>V7.4.5</t>
  </si>
  <si>
    <t>Verify that application administrators are able to terminate active sessions for an individual user or for all users.</t>
  </si>
  <si>
    <t>Admin session revocation capability would fit the design, but is not yet specified.</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</si>
  <si>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</si>
  <si>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</si>
  <si>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</si>
  <si>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</si>
  <si>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Sensitive-account-operation re-authentication/session management is not yet fully defined.</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</si>
  <si>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</si>
  <si>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</si>
  <si>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</si>
  <si>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</si>
  <si>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</si>
  <si>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</si>
  <si>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</si>
  <si>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</si>
  <si>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</si>
  <si>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</si>
  <si>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</si>
  <si>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</si>
  <si>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</si>
  <si>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</si>
  <si>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</si>
  <si>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</si>
  <si>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</si>
  <si>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</si>
  <si>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Not applicable – the authorization design does not use environmental or contextual attributes such as location, device, or time of day.</t>
  </si>
  <si>
    <t>N/A – contextual/adaptive authorization not in current scope</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</si>
  <si>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</si>
  <si>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</si>
  <si>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</si>
  <si>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</si>
  <si>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</si>
  <si>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</si>
  <si>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</si>
  <si>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</si>
  <si>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</si>
  <si>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</si>
  <si>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</si>
  <si>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</si>
  <si>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</si>
  <si>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</si>
  <si>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</si>
  <si>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</si>
  <si>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</si>
  <si>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</si>
  <si>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</si>
  <si>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</si>
  <si>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</si>
  <si>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</si>
  <si>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</si>
  <si>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</si>
  <si>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Not applicable – the application is not designed as a multi-tenant system.</t>
  </si>
  <si>
    <t>N/A – multi-tenant controls not in current system scope</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</si>
  <si>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</si>
  <si>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</si>
  <si>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</si>
  <si>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</si>
  <si>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</si>
  <si>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</si>
  <si>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DESOFS Phase 1: §5.1 RS1-RS3; §2.2 Assumptions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</si>
  <si>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</si>
  <si>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</si>
  <si>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</si>
  <si>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</si>
  <si>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</si>
  <si>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</si>
  <si>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</si>
  <si>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</si>
  <si>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</si>
  <si>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</si>
  <si>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</si>
  <si>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</si>
  <si>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</si>
  <si>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</si>
  <si>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</si>
  <si>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</si>
  <si>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</si>
  <si>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</si>
  <si>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Application does not use OAuth2 or OpenID Connect; authentication is handled internally via backend-managed sessions and RBAC.</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</si>
  <si>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</si>
  <si>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</si>
  <si>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</si>
  <si>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</si>
  <si>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</si>
  <si>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</si>
  <si>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</si>
  <si>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</si>
  <si>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</si>
  <si>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</si>
  <si>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</si>
  <si>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</si>
  <si>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</si>
  <si>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</si>
  <si>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</si>
  <si>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</si>
  <si>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</si>
  <si>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</si>
  <si>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</si>
  <si>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</si>
  <si>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</si>
  <si>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</si>
  <si>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</si>
  <si>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</si>
  <si>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</si>
  <si>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</si>
  <si>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</si>
  <si>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</si>
  <si>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</si>
  <si>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</si>
  <si>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</si>
  <si>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</si>
  <si>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</si>
  <si>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</si>
  <si>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</si>
  <si>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</si>
  <si>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</si>
  <si>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</si>
  <si>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</si>
  <si>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</si>
  <si>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</si>
  <si>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</si>
  <si>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</si>
  <si>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</si>
  <si>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</si>
  <si>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</si>
  <si>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</si>
  <si>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</si>
  <si>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</si>
  <si>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</si>
  <si>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</si>
  <si>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</si>
  <si>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</si>
  <si>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</si>
  <si>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</si>
  <si>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</si>
  <si>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</si>
  <si>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</si>
  <si>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</si>
  <si>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</si>
  <si>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</si>
  <si>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</si>
  <si>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</si>
  <si>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</si>
  <si>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</si>
  <si>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</si>
  <si>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</si>
  <si>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</si>
  <si>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</si>
  <si>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</si>
  <si>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</si>
  <si>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</si>
  <si>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</si>
  <si>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</si>
  <si>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</si>
  <si>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</si>
  <si>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</si>
  <si>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</si>
  <si>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</si>
  <si>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</si>
  <si>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</si>
  <si>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</si>
  <si>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</si>
  <si>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</si>
  <si>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</si>
  <si>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</si>
  <si>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Cryptographic controls (hashing, TLS, token generation) are required by design, but specific algorithms, key management practices, and implementation details are not yet formally defined in Phase 1.</t>
  </si>
  <si>
    <t>DESOFS Phase 1: §5.3 RS8; §2.2 Assumptions (TLS); §11 hashing of codes/files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</si>
  <si>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</si>
  <si>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</si>
  <si>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</si>
  <si>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</si>
  <si>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</si>
  <si>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</si>
  <si>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</si>
  <si>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</si>
  <si>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</si>
  <si>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</si>
  <si>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</si>
  <si>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</si>
  <si>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</si>
  <si>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</si>
  <si>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</si>
  <si>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</si>
  <si>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This is advanced crypto-hardening detail not yet covered in Phase 1 documentation.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</si>
  <si>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</si>
  <si>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</si>
  <si>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</si>
  <si>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</si>
  <si>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</si>
  <si>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</si>
  <si>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Cryptographic primitives should be selected safely in implementation; exact algorithms are not yet specified.</t>
  </si>
  <si>
    <t>DESOFS Phase 1: §5.3 RS8; §2.2 Assumptions (HTTPS/TLS)</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</si>
  <si>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</si>
  <si>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</si>
  <si>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</si>
  <si>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</si>
  <si>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</si>
  <si>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</si>
  <si>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</si>
  <si>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</si>
  <si>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</si>
  <si>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</si>
  <si>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</si>
  <si>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</si>
  <si>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</si>
  <si>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</si>
  <si>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</si>
  <si>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</si>
  <si>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</si>
  <si>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</si>
  <si>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</si>
  <si>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</si>
  <si>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</si>
  <si>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</si>
  <si>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</si>
  <si>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</si>
  <si>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</si>
  <si>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</si>
  <si>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</si>
  <si>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</si>
  <si>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</si>
  <si>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</si>
  <si>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</si>
  <si>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</si>
  <si>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</si>
  <si>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</si>
  <si>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DESOFS Phase 1: §5.2 RS4-RS6</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</si>
  <si>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</si>
  <si>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</si>
  <si>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</si>
  <si>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</si>
  <si>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</si>
  <si>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</si>
  <si>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</si>
  <si>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</si>
  <si>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Cipher-suite policy is not yet specified.</t>
  </si>
  <si>
    <t>V12.1.3</t>
  </si>
  <si>
    <t>Verify that the application validates that mTLS client certificates are trusted before using the certificate identity for authentication or authorization.</t>
  </si>
  <si>
    <t>Not applicable – the current design does not use mutual TLS client certificates for authentication or authorization.</t>
  </si>
  <si>
    <t>N/A – mTLS client authentication not in current system scope</t>
  </si>
  <si>
    <t>V12.1.4</t>
  </si>
  <si>
    <t>Verify that proper certification revocation, such as Online Certificate Status Protocol (OCSP) Stapling, is enabled and configured.</t>
  </si>
  <si>
    <t>Advanced TLS features such as OCSP stapling and ECH are not required for Phase 1 and are not yet specified in the deployment configuration.</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</si>
  <si>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</si>
  <si>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</si>
  <si>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</si>
  <si>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</si>
  <si>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</si>
  <si>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</si>
  <si>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</si>
  <si>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</si>
  <si>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Production certificate sourcing/trust model is still an implementation detail.</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</si>
  <si>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</si>
  <si>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</si>
  <si>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</si>
  <si>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</si>
  <si>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Service-to-service encryption and certificate validation are required by design, but detailed configuration (e.g., TLS enforcement, certificate trust model, internal CA usage) is not yet defined and will be specified during deployment architecture.</t>
  </si>
  <si>
    <t>DESOFS Phase 1: §2.2 HTTPS; §5.3 RS7; §9 trust boundaries; STRIDE T/M</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</si>
  <si>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</si>
  <si>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</si>
  <si>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</si>
  <si>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</si>
  <si>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</si>
  <si>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</si>
  <si>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</si>
  <si>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</si>
  <si>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Not applicable in Phase 1, as the system does not use a microservices architecture or mutual TLS authentication between services.</t>
  </si>
  <si>
    <t>N/A – service mesh/mTLS not in current system scope</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</si>
  <si>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</si>
  <si>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</si>
  <si>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</si>
  <si>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</si>
  <si>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Key communication paths and trust boundaries are documented, but a full communication inventory and external connection policy are not yet fully defined.</t>
  </si>
  <si>
    <t>DESOFS Phase 1: §9 trust boundaries; §10 STRIDE; §11 mitigations</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</si>
  <si>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</si>
  <si>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</si>
  <si>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Detailed configuration parameters such as connection limits, timeout/retry strategies, and secret lifecycle/rotation policies are not yet formally defined and will be specified during implementation and deployment design.</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</si>
  <si>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</si>
  <si>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</si>
  <si>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</si>
  <si>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</si>
  <si>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</si>
  <si>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</si>
  <si>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</si>
  <si>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</si>
  <si>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Service-to-service authentication is expected to use least-privilege credentials (e.g., scoped tokens or service accounts), but the exact authentication mechanisms and credential lifecycle are not yet defined.</t>
  </si>
  <si>
    <t>DESOFS Phase 1: §9 trust boundaries; §10 STRIDE (T/S); §11 mitigations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</si>
  <si>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</si>
  <si>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</si>
  <si>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</si>
  <si>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</si>
  <si>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</si>
  <si>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</si>
  <si>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Outbound/network/file-access allowlists would strengthen SSRF and egress control but are not yet documented.</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</si>
  <si>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</si>
  <si>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</si>
  <si>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</si>
  <si>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</si>
  <si>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</si>
  <si>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</si>
  <si>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</si>
  <si>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</si>
  <si>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Secrets-management approach should be documented before deployment/implementation.</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</si>
  <si>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</si>
  <si>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</si>
  <si>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</si>
  <si>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</si>
  <si>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Use of secure key management (e.g., vault or HSM) is not yet defined and depends on deployment architecture.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</si>
  <si>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</si>
  <si>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</si>
  <si>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</si>
  <si>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</si>
  <si>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</si>
  <si>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</si>
  <si>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DESOFS Phase 1: deployment assumptions; §9 architecture; §12 tests</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</si>
  <si>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</si>
  <si>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</si>
  <si>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</si>
  <si>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</si>
  <si>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</si>
  <si>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</si>
  <si>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</si>
  <si>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</si>
  <si>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DESOFS Phase 1: RNF4-RNF5; §5.5 RS12-RS13; AC12; STRIDE D3/P7; §12 tests</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</si>
  <si>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</si>
  <si>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</si>
  <si>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</si>
  <si>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</si>
  <si>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</si>
  <si>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</si>
  <si>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</si>
  <si>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</si>
  <si>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</si>
  <si>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</si>
  <si>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</si>
  <si>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</si>
  <si>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</si>
  <si>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</si>
  <si>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DESOFS Phase 1: §5.2 RS4-RS6; AC1/AC2; STRIDE P1/P4; §12 tests</t>
  </si>
  <si>
    <t>V14.2.2</t>
  </si>
  <si>
    <t>Verify that the application prevents sensitive data from being cached in server components, such as load balancers and application caches, or ensures that the data is securely purged after use.</t>
  </si>
  <si>
    <t>DESOFS Phase 1: §5.2 RS4-RS6; AC1/AC2; STRIDE I/P; §12 tests</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</si>
  <si>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</si>
  <si>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</si>
  <si>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</si>
  <si>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</si>
  <si>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</si>
  <si>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</si>
  <si>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</si>
  <si>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</si>
  <si>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DESOFS Phase 1: §5.2 RS4-RS6; AC1/AC2; STRIDE P1; §12 tests</t>
  </si>
  <si>
    <t>V14.2.7</t>
  </si>
  <si>
    <t>Verify that sensitive information is subject to data retention classification, ensuring that outdated or unnecessary data is deleted automatically, on a defined schedule, or as the situation requires.</t>
  </si>
  <si>
    <t>Retention and deletion policies are required but not yet formally defined or automated.</t>
  </si>
  <si>
    <t>V14.2.8</t>
  </si>
  <si>
    <t>Verify that sensitive information is removed from the metadata of user-submitted files unless storage is consented to by the user.</t>
  </si>
  <si>
    <t>Metadata anonymization is documented conceptually, but file-metadata scrubbing is not yet fully specified.</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</si>
  <si>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</si>
  <si>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</si>
  <si>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</si>
  <si>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</si>
  <si>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Not applicable in Phase 1, as the system does not include a browser-based client storing authenticated data.</t>
  </si>
  <si>
    <t>V14.3.2</t>
  </si>
  <si>
    <t>Verify that the application sets sufficient anti-caching HTTP response header fields (i.e., Cache-Control: no-store) so that sensitive data is not cached in browsers.</t>
  </si>
  <si>
    <t>Client-side data protection mechanisms (cache-control headers, storage policies, and token handling) are not yet defined and will be specified if a browser-based UI is introduced.</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</si>
  <si>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</si>
  <si>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</si>
  <si>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</si>
  <si>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</si>
  <si>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</si>
  <si>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</si>
  <si>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Risk-based remediation timelines for third-party vulnerabilities are required but not yet formally defined (e.g., critical/high/medium severity SLAs).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</si>
  <si>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</si>
  <si>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</si>
  <si>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</si>
  <si>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</si>
  <si>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</si>
  <si>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</si>
  <si>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</si>
  <si>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</si>
  <si>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</si>
  <si>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</si>
  <si>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</si>
  <si>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</si>
  <si>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</si>
  <si>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</si>
  <si>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</si>
  <si>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</si>
  <si>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</si>
  <si>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</si>
  <si>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</si>
  <si>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</si>
  <si>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</si>
  <si>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</si>
  <si>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</si>
  <si>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</si>
  <si>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</si>
  <si>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</si>
  <si>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</si>
  <si>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</si>
  <si>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</si>
  <si>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</si>
  <si>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</si>
  <si>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</si>
  <si>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</si>
  <si>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</si>
  <si>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</si>
  <si>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</si>
  <si>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</si>
  <si>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</si>
  <si>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</si>
  <si>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</si>
  <si>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Concurrency risks (race conditions, TOCTOU, thread safety) are identified, but specific synchronization mechanisms and safe access patterns are not yet defined.</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</si>
  <si>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</si>
  <si>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</si>
  <si>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</si>
  <si>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</si>
  <si>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</si>
  <si>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</si>
  <si>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</si>
  <si>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</si>
  <si>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</si>
  <si>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</si>
  <si>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</si>
  <si>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</si>
  <si>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</si>
  <si>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</si>
  <si>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</si>
  <si>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</si>
  <si>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</si>
  <si>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</si>
  <si>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</si>
  <si>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</si>
  <si>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</si>
  <si>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</si>
  <si>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</si>
  <si>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</si>
  <si>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</si>
  <si>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</si>
  <si>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Authentication events are explicitly identified for logging and testing.</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</si>
  <si>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</si>
  <si>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</si>
  <si>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</si>
  <si>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</si>
  <si>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</si>
  <si>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</si>
  <si>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Logging of unexpected errors and control failures is required but not yet explicitly defined.</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</si>
  <si>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</si>
  <si>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</si>
  <si>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</si>
  <si>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</si>
  <si>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</si>
  <si>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</si>
  <si>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</si>
  <si>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</si>
  <si>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</si>
  <si>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</si>
  <si>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</si>
  <si>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</si>
  <si>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</si>
  <si>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</si>
  <si>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</si>
  <si>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</si>
  <si>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</si>
  <si>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</si>
  <si>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Partial canonicalization exists for file paths and tracking codes, but DTO input normalization is not consistently enforced or tested.</t>
  </si>
  <si>
    <t>FileStorageService.java; SafeFilename.java; TrackingCode.java; ReportDescription.java; FileStorageServiceTest</t>
  </si>
  <si>
    <t>Output escaping is partial: Jackson and newer backoffice pages escape values, but public pages still render unescaped API data.</t>
  </si>
  <si>
    <t>admin.html; analyst.html; auditor.html; submit.html; track.html; js/api.js</t>
  </si>
  <si>
    <t>HTML output encoding is relevant and partially implemented, but public pages still have unescaped DOM rendering paths.</t>
  </si>
  <si>
    <t>track.html; submit.html; js/api.js; admin.html; analyst.html; auditor.html</t>
  </si>
  <si>
    <t>Safe URL construction is partial; backup URLs are encoded, but not all dynamic query/path values are encoded consistently.</t>
  </si>
  <si>
    <t>admin.html; auditor.html; submit.html; AdminBackupController.java; ReportService.java</t>
  </si>
  <si>
    <t>JSON serialization is framework-based, but JavaScript/DOM output escaping remains incomplete in frontend static files.</t>
  </si>
  <si>
    <t>JwtService.java; BackupService.java; analyst.html; submit.html; track.html; js/api.js</t>
  </si>
  <si>
    <t>Database access uses Spring Data/JPA derived methods and bound JPQL; no dynamic SQL/HQL concatenation was found.</t>
  </si>
  <si>
    <t>ReportRepository.java; UserRepository.java; DatabaseConstraintInitializer.java; pom.xml</t>
  </si>
  <si>
    <t>No OS command execution exists in the current implementation; file and backup operations use Java APIs.</t>
  </si>
  <si>
    <t>N/A – no OS command execution in current Sprint 1 scope</t>
  </si>
  <si>
    <t>TrackingCode.java; BackupService.java; CreateUserRequest.java</t>
  </si>
  <si>
    <t>Regex use appears limited to fixed validation patterns, but explicit ReDoS/regex safety tests are not yet documented.</t>
  </si>
  <si>
    <t>CSV/spreadsheet export protection is not implemented or specified. If CSV/XLSX/ODS export is introduced, dangerous leading characters must be escaped.</t>
  </si>
  <si>
    <t>No eval, dynamic code execution, or user-controlled SpEL usage was implemented.</t>
  </si>
  <si>
    <t>N/A – no dynamic code execution in current Sprint 1 scope</t>
  </si>
  <si>
    <t>Context-specific sanitization exists for files, ZIP entries, and logs, but frontend rendering and manual JSON paths need hardening.</t>
  </si>
  <si>
    <t>FileStorageService.java; BackupService.java; CasePackageService.java; AuditLogService.java; SecurityMonitoringService.java</t>
  </si>
  <si>
    <t>Backend SSRF surface is not present because the application does not make outbound HTTP requests from user input.</t>
  </si>
  <si>
    <t>N/A – no outbound HTTP requests from user input</t>
  </si>
  <si>
    <t>Server-side template rendering is not implemented, so template injection is not in scope.</t>
  </si>
  <si>
    <t>pom.xml; src/main/resources/static/*</t>
  </si>
  <si>
    <t>Format strings are fixed in code; user-controlled data is not used as the format template.</t>
  </si>
  <si>
    <t>FileStorageService.java; CasePackageService.java; tests using fixed .formatted() payloads</t>
  </si>
  <si>
    <t>Existing regex use is fixed and not dynamically built from user input; no ReDoS-prone patterns were found.</t>
  </si>
  <si>
    <t>XML parsing is not implemented, so XXE parser configuration is outside current scope.</t>
  </si>
  <si>
    <t>N/A – no XML parser/input processing in current Sprint 1 scope</t>
  </si>
  <si>
    <t>No arbitrary Java deserialization was found, but JSON/JWT/backup parsing lacks explicit hardening tests and size controls.</t>
  </si>
  <si>
    <t>JwtService.java; BackupService.java; CasePackageService.java; pom.xml</t>
  </si>
  <si>
    <t>Parser and encoding consistency is partial; standard parsers are used, but manual JSON and raw URL construction remain.</t>
  </si>
  <si>
    <t>CasePackageService.java; JwtService.java; submit.html; track.html; AdminBackupController.java</t>
  </si>
  <si>
    <t>Documentation names validation and upload controls, but complete field-level validation rules for all request DTOs and path inputs are not documented.</t>
  </si>
  <si>
    <t>README.md; application.yaml; CreateReportRequest.java; CreateUserRequest.java; FileStorageService.java</t>
  </si>
  <si>
    <t>Some contextual rules are visible in code and tests, but documentation does not fully define cross-field consistency rules such as report ID plus tracking code, case ownership, or closed-case package rules.</t>
  </si>
  <si>
    <t>README.md; ReportService.java; CaseReviewService.java; CasePackageServiceIntegrationTest; AnalystCaseOwnershipTest</t>
  </si>
  <si>
    <t>Business limits are partially documented/configured for uploads, rate limits, backups, and roles, but global quotas and all per-user limits are not fully specified.</t>
  </si>
  <si>
    <t>README.md; application.yaml; RateLimitProperties.java; FileStorageService.java</t>
  </si>
  <si>
    <t>Backend validation exists through Bean Validation, enums, value objects, file allowlists, size checks, and path checks, but some inputs still only have minimal NotBlank/null validation.</t>
  </si>
  <si>
    <t>CreateReportRequest.java; CreateUserRequest.java; TrackingCode.java; ReportDescription.java; SafeFilename.java; FileStorageService.java</t>
  </si>
  <si>
    <t>Validation is enforced in controllers and services using @Valid, domain validation, service-level business checks, and repository/model constraints, not only in static frontend JavaScript.</t>
  </si>
  <si>
    <t>ReportController.java; AdminController.java; ReportService.java; CaseReviewService.java; FileStorageService.java; PublicReportFlowIntegrationTest; ReportControllerAttachmentUploadTest</t>
  </si>
  <si>
    <t>Related data combinations are partially validated, including tracking code with report/attachment, analyst ownership, closed-case package generation, and backup filename rules, but status transition rules are incomplete.</t>
  </si>
  <si>
    <t>ReportService.java; CaseReviewService.java; CasePackageService.java; BackupService.java; AnalystCaseOwnershipTest; ClosedCaseSecurityTest</t>
  </si>
  <si>
    <t>Workflow sequencing is partially enforced: uploads require an existing report and matching tracking code, case packages require closed cases, and backup restore verifies integrity first, but report status changes can skip states.</t>
  </si>
  <si>
    <t>ReportService.java; CaseReviewService.java; CasePackageService.java; BackupService.java; PublicReportFlowIntegrationTest; CasePackageServiceIntegrationTest; BackupServiceIntegrationTest</t>
  </si>
  <si>
    <t>Some business limits are implemented for file size/type, rate-limited tracking/upload/download, backup filename format, and closed-case immutability, but report creation, login, listing, backup frequency, and attachment count limits are incomplete.</t>
  </si>
  <si>
    <t>RateLimiterService.java; application.yaml; FileStorageService.java; BackupService.java; ClosedCaseSecurityTest; RateLimiterServiceTest</t>
  </si>
  <si>
    <t>Only read-only audit retrieval has @Transactional; write workflows combine database and file operations without explicit service-level transaction boundaries or rollback guarantees.</t>
  </si>
  <si>
    <t>AuditReadService.java; ReportService.java; FileStorageService.java; BackupService.java; CasePackageService.java</t>
  </si>
  <si>
    <t>High-impact flows such as admin user creation, backup creation/download/restore, and evidence package generation are controlled by RBAC but have no multi-user approval workflow.</t>
  </si>
  <si>
    <t>AdminController.java; AdminBackupController.java; CasePackageService.java; SecurityConfig.java; AdminBackupControllerSecurityTest; AuditorAuthorizationTest</t>
  </si>
  <si>
    <t>Rate limiting and abuse monitoring exist for tracking verification, uploads, and downloads, but not for report submission, login, audit listing, backup operations, or broader data exfiltration paths.</t>
  </si>
  <si>
    <t>RateLimiterService.java; ReportController.java; SecurityMonitoringService.java; application.yaml; RateLimiterServiceTest; TrackingCodeEnumerationTest</t>
  </si>
  <si>
    <t>RateLimiterService.java; ReportController.java; RateLimiterServiceTest; No implementation evidence found for CAPTCHA or human-timing controls</t>
  </si>
  <si>
    <t>Rate limiting provides partial rapid-call throttling for selected public endpoints, but there is no CAPTCHA-equivalent, realistic human timing control, or rapid repeated report submission protection.</t>
  </si>
  <si>
    <t>Documentation mentions HTTPS/TLS, and Spring Security config implements some browser headers, but expected browser security features and fallback behavior are not fully documented.</t>
  </si>
  <si>
    <t>README.md; SecurityConfig.java; SecurityHeadersTest</t>
  </si>
  <si>
    <t>Downloads use Content-Disposition attachment and nosniff is configured, but protections for all browser rendering contexts and uploaded/API responses are only partially tested.</t>
  </si>
  <si>
    <t>ReportService.java; AdminBackupController.java; FileStorageService.java; SecurityConfig.java; SecurityHeadersTest</t>
  </si>
  <si>
    <t>Static frontend renders API data; some pages escape values or use innerText, but unsafe innerHTML rendering remains in public and legacy frontend code.</t>
  </si>
  <si>
    <t>submit.html; track.html; js/api.js; admin.html; analyst.html; auditor.html</t>
  </si>
  <si>
    <t>Client-side JavaScript exists, but no explicit DOM clobbering defenses or tests were implemented.</t>
  </si>
  <si>
    <t>The application uses JWT Bearer tokens in web storage and stateless security, not authentication/session cookies requiring Secure or cookie prefixes.</t>
  </si>
  <si>
    <t>SecurityConfig.java; AuthService.java; js/api.js; admin.html; analyst.html; auditor.html</t>
  </si>
  <si>
    <t>The application does not issue authentication/session cookies, so SameSite cookie configuration is not applicable to the current implementation.</t>
  </si>
  <si>
    <t>SecurityConfig.java; AuthService.java; static frontend token storage</t>
  </si>
  <si>
    <t>The application does not issue host-scoped authentication/session cookies, so __Host- cookie prefix requirements are not applicable.</t>
  </si>
  <si>
    <t>SecurityConfig.java; AuthService.java</t>
  </si>
  <si>
    <t>Sensitive authentication state is not transferred by Set-Cookie; JWT Bearer tokens are handled by JSON responses and Authorization headers.</t>
  </si>
  <si>
    <t>AuthController.java; AuthService.java; SecurityConfig.java; static frontend files</t>
  </si>
  <si>
    <t>The application does not define application cookies, so cookie name/value length limits are not applicable in the current scope.</t>
  </si>
  <si>
    <t>N/A – no application authentication/session cookies</t>
  </si>
  <si>
    <t>HSTS is configured with one-year max-age and includeSubDomains, but tests do not assert HSTS on HTTPS responses.</t>
  </si>
  <si>
    <t>SecurityConfig.java; SecurityHeadersTest</t>
  </si>
  <si>
    <t>No wildcard CORS configuration was found, but there is no explicit trusted-origin CORS policy or regression test.</t>
  </si>
  <si>
    <t>SecurityConfig.java; No CorsConfigurationSource implemented</t>
  </si>
  <si>
    <t>CSP is configured with default-src self, object-src none, and frame-ancestors none, but base-uri none is missing and unsafe-inline is allowed.</t>
  </si>
  <si>
    <t>X-Content-Type-Options nosniff is configured through Spring Security and verified by a security header test.</t>
  </si>
  <si>
    <t>SecurityConfig.java; SecurityHeadersTest.publicPageIncludesSecurityHeaders</t>
  </si>
  <si>
    <t>Referrer-Policy is configured as no-referrer and verified by a security header test.</t>
  </si>
  <si>
    <t>Clickjacking protection is configured using CSP frame-ancestors none and X-Frame-Options DENY.</t>
  </si>
  <si>
    <t>CSP violation reporting is not configured.</t>
  </si>
  <si>
    <t>No implementation evidence found</t>
  </si>
  <si>
    <t>Cross-Origin-Opener-Policy is not configured for document-rendering responses.</t>
  </si>
  <si>
    <t>CSRF is disabled and authenticated operations use Bearer Authorization headers, but no Origin, Referer, or Sec-Fetch validation is implemented or documented.</t>
  </si>
  <si>
    <t>SecurityConfig.java; admin.html; analyst.html; auditor.html</t>
  </si>
  <si>
    <t>CORS preflight is not used as the protection mechanism for sensitive functionality; protected endpoints rely on Bearer authentication and RBAC.</t>
  </si>
  <si>
    <t>SecurityConfig.java; JwtAuthenticationFilter.java</t>
  </si>
  <si>
    <t>State-changing sensitive operations use POST or PATCH; GET endpoints are used for read-only listing, verification, manifest, and download operations.</t>
  </si>
  <si>
    <t>ReportController.java; AnalystController.java; AdminController.java; AdminBackupController.java; AuditController.java</t>
  </si>
  <si>
    <t>GhostReport is implemented as a single Spring Boot application serving static frontend and APIs; no separate browser applications or hostnames are defined.</t>
  </si>
  <si>
    <t>N/A – single application in current Sprint 1 scope</t>
  </si>
  <si>
    <t>No postMessage usage was found in the static frontend.</t>
  </si>
  <si>
    <t>Controllers under src/main/java/com/ghostreport/controller; static frontend files</t>
  </si>
  <si>
    <t>No JSONP or callback-based JSON endpoints were fully implemented.</t>
  </si>
  <si>
    <t>JavaScript resources are static files and do not include authorization-required user data; protected data is retrieved through JSON API calls.</t>
  </si>
  <si>
    <t>js/api.js; admin.html; analyst.html; auditor.html; SecurityConfig.java</t>
  </si>
  <si>
    <t>Frame embedding is restricted, and authenticated resources require Bearer/RBAC, but no Sec-Fetch validation or Cross-Origin-Resource-Policy header is configured.</t>
  </si>
  <si>
    <t>SecurityConfig.java; ReportService.java; AdminBackupController.java</t>
  </si>
  <si>
    <t>No external client-side scripts, stylesheets, fonts, or CDN assets were found, so SRI is not applicable.</t>
  </si>
  <si>
    <t>static HTML files; js/api.js; css files</t>
  </si>
  <si>
    <t>The frontend uses supported standard HTML, CSS, and vanilla JavaScript only; no obsolete browser plugins or unsupported client technologies were found.</t>
  </si>
  <si>
    <t>src/main/resources/static/*.html; src/main/resources/static/js/api.js; css files</t>
  </si>
  <si>
    <t>No automatic redirects to external domains were found; the only automatic redirect is internal to track.html.</t>
  </si>
  <si>
    <t>No redirects outside the application’s control were implemented.</t>
  </si>
  <si>
    <t>N/A – no external redirects implemented</t>
  </si>
  <si>
    <t>Spring MVC and static resource handling provide content types for JSON/static HTML, and downloads set explicit media types, but content type and charset coverage is not tested for all response bodies.</t>
  </si>
  <si>
    <t>ReportController.java; GlobalExceptionHandler.java; ReportService.java; AdminBackupController.java; SecurityHeadersTest</t>
  </si>
  <si>
    <t>HSTS and HTTPS/TLS are mentioned/configured, but no HTTPS redirect/rejection policy distinguishes user-facing pages from sensitive API requests.</t>
  </si>
  <si>
    <t>SecurityConfig.java; application.yaml; README.md</t>
  </si>
  <si>
    <t>Controllers expose explicit GET/POST/PATCH mappings, but unsupported method blocking is not explicitly configured or tested.</t>
  </si>
  <si>
    <t>ReportController.java; AnalystController.java; AdminController.java; AuditController.java; AdminBackupController.java</t>
  </si>
  <si>
    <t>The application does not read X-Forwarded-*, X-Real-IP, or X-User-ID headers directly, but no explicit proxy/intermediary header trust policy or tests were implemented.</t>
  </si>
  <si>
    <t>ReportController.java; SecurityConfig.java; No ForwardedHeaderFilter or forward-headers-strategy implemented</t>
  </si>
  <si>
    <t>Request boundary handling appears to rely on Spring Boot embedded server defaults; no explicit request smuggling protection, proxy configuration, or tests were found.</t>
  </si>
  <si>
    <t>pom.xml; application.yaml</t>
  </si>
  <si>
    <t>The application does not manually set Content-Length and relies on Spring/Tomcat response framing, but no tests or explicit configuration verify conflicting framing is prevented.</t>
  </si>
  <si>
    <t>ReportService.java; AdminBackupController.java; No manual Content-Length evidence</t>
  </si>
  <si>
    <t>No manual Transfer-Encoding or connection-specific HTTP/2/HTTP/3 header handling was found, but there is no explicit HTTP/2/3 proxy/server policy or test evidence.</t>
  </si>
  <si>
    <t>application.yaml; pom.xml</t>
  </si>
  <si>
    <t>Header values are mostly constants or built with Spring ContentDisposition, but CR/LF header injection rejection is not explicitly configured or tested.</t>
  </si>
  <si>
    <t>Multipart size limits and file size checks exist, but URI/header length limits and Authorization header size limits are not configured or tested.</t>
  </si>
  <si>
    <t>application.yaml; FileStorageService.java; RateLimiterService.java</t>
  </si>
  <si>
    <t>GraphQL is not implemented and no GraphQL dependency or endpoint was implemented.</t>
  </si>
  <si>
    <t>File type allowlists, extension checks and 10MB size limits are implemented in code/config, but complete documentation of permitted types, download safety, unpacked-size handling and malware handling is incomplete.</t>
  </si>
  <si>
    <t>README.md; application.yaml; FileStorageService.java</t>
  </si>
  <si>
    <t>Multipart and service-level 10MB file size limits are configured and enforced before storage, with tests covering oversized uploads.</t>
  </si>
  <si>
    <t>application.yaml; FileStorageService.java; ReportControllerAttachmentUploadTest.oversizedUploadUsesProductionLimitAndReturnsControlledError; FileStorageServiceTest.storeAttachmentRejectsOversizedFileUsingProductionLimit</t>
  </si>
  <si>
    <t>Uploaded files are checked against an allowed MIME list, matching extensions and content signatures/magic bytes before storage.</t>
  </si>
  <si>
    <t>FileStorageService.java; FileStorageServiceTest.storeAttachmentAcceptsValidPdfPngAndJpegSignatures; FileStorageServiceTest.storeAttachmentRejectsFakePdfMagicBytes; ReportControllerAttachmentUploadTest.fakePdfWithWrongMagicBytesIsRejected</t>
  </si>
  <si>
    <t>application.yaml; FileStorageService.java; ReportController.java; No attachment count/quota</t>
  </si>
  <si>
    <t>Per-file and multipart request size limits exist, but no per-user/per-report attachment count quota or total storage quota was implemented.</t>
  </si>
  <si>
    <t>Uploaded files are stored under the configured uploads directory, not under static/public resources, and are served only through controlled download endpoints.</t>
  </si>
  <si>
    <t>FileStorageService.java; ReportService.java; AnalystController.java; ReportControllerAttachmentUploadTest.allowedUploadPersistsAttachmentAndStoresUuidFileInsideBase</t>
  </si>
  <si>
    <t>User filenames are validated and sanitized, stored filenames are UUID-based, and all stored paths are normalized and checked to remain inside trusted base directories with traversal tests.</t>
  </si>
  <si>
    <t>FileStorageService.java; SafeFilename.java; BackupService.java; CasePackageService.java; FileStorageServiceTest; SafeFilenameSecurityTest; ReportControllerAttachmentUploadTest.maliciousOriginalFilenameIsRejected</t>
  </si>
  <si>
    <t>Backup ZIP entries are validated before writing and extraction, normalized output paths must remain under restore staging, and path traversal backup filenames are tested.</t>
  </si>
  <si>
    <t>BackupService.java; BackupServiceIntegrationTest.blocksPathTraversalInBackupFilename; AdminBackupControllerSecurityTest.pathTraversalInEndpointFilenameIsRejected</t>
  </si>
  <si>
    <t>User-submitted filenames are validated/sanitized for metadata, stored filenames are internally generated, and downloads use Content-Disposition attachment headers.</t>
  </si>
  <si>
    <t>FileStorageService.java; SafeFilename.java; ReportService.java; AdminBackupController.java; ReportControllerAttachmentUploadTest</t>
  </si>
  <si>
    <t>Download filenames are emitted through Spring ContentDisposition with UTF-8 filename handling instead of manual header concatenation.</t>
  </si>
  <si>
    <t>ReportService.java; AdminBackupController.java</t>
  </si>
  <si>
    <t>No antivirus or malware scanning integration was implemented; existing MIME, extension and magic-byte checks reduce risk but do not provide malware scanning.</t>
  </si>
  <si>
    <t>FileStorageService.java; ReportControllerAttachmentUploadTest; No antivirus integration implemented</t>
  </si>
  <si>
    <t>Admin-created user passwords must be 12 to 128 characters, meeting the minimum 8-character ASVS requirement.</t>
  </si>
  <si>
    <t>CreateUserRequest.java; AdminController.java; UserService.java</t>
  </si>
  <si>
    <t>Frontend login and user creation forms use type=password for password fields.</t>
  </si>
  <si>
    <t>admin.html; analyst.html; auditor.html</t>
  </si>
  <si>
    <t>Password fields do not block paste or password managers and include autocomplete hints for current/new passwords.</t>
  </si>
  <si>
    <t>Passwords are passed to Spring Security/BCrypt as received; no trimming, case conversion or truncation was found before verification or hashing.</t>
  </si>
  <si>
    <t>LoginRequest.java; AuthService.java; UserService.java; SecurityConfig.java</t>
  </si>
  <si>
    <t>Password creation permits up to 128 characters, allowing passwords of at least 64 characters.</t>
  </si>
  <si>
    <t>CreateUserRequest.java</t>
  </si>
  <si>
    <t>Production seed users are disabled by default and tested, but dev/test profiles contain hardcoded seeded admin/analyst/auditor credentials.</t>
  </si>
  <si>
    <t>application.yaml; application-dev.yaml; DataInitializer.java; DataInitializerDisabledTest</t>
  </si>
  <si>
    <t>No MFA or combined authentication mechanism is implemented for admin, analyst or auditor accounts.</t>
  </si>
  <si>
    <t>No implementation</t>
  </si>
  <si>
    <t>Email addresses are stored for users but are not used as an authentication factor; authentication uses username/password and JWT.</t>
  </si>
  <si>
    <t>User.java; LoginRequest.java; AuthService.java; CustomUserDetailsService.java</t>
  </si>
  <si>
    <t>Spring Security handles authentication failures, but there are no explicit uniform failed-login response tests or timing/user-enumeration protections for /auth/login.</t>
  </si>
  <si>
    <t>AuthController.java; AuthService.java; CustomUserDetailsService.java;</t>
  </si>
  <si>
    <t>System-generated initial passwords or activation codes are not implemented; admins currently submit a chosen password when creating users.</t>
  </si>
  <si>
    <t>AdminController.java; CreateUserRequest.java; UserService.java</t>
  </si>
  <si>
    <t>Application JWTs are HMAC-signed and signature/expiry are checked before authentication, but tampered/expired JWT rejection tests were not found.</t>
  </si>
  <si>
    <t>JwtService.java; JwtAuthenticationFilter.java; SecurityConfig.java</t>
  </si>
  <si>
    <t>Protected endpoints use server-side JWT validation through JwtAuthenticationFilter and JwtService, but dedicated tests for expired, tampered and malformed JWTs were not found.</t>
  </si>
  <si>
    <t>JwtAuthenticationFilter.java; JwtService.java; SecurityConfig.java; RbacAuthorizationMatrixTest</t>
  </si>
  <si>
    <t>AuthService.java; JwtService.java; AuthController.java</t>
  </si>
  <si>
    <t>application.yaml; application-dev.yaml; JwtService.java</t>
  </si>
  <si>
    <t>JWT Bearer tokens are generated dynamically after successful username/password authentication and are not static API keys or shared secrets.</t>
  </si>
  <si>
    <t>The application uses self-contained JWTs for staff sessions and does not implement reference session tokens.</t>
  </si>
  <si>
    <t>N/A – reference session tokens not used</t>
  </si>
  <si>
    <t>A new JWT is issued on login, but previously issued JWTs are not revoked or terminated because no server-side token registry or blacklist exists.</t>
  </si>
  <si>
    <t>AuthService.java; JwtService.java;</t>
  </si>
  <si>
    <t>No inactivity timeout enforcement was found for stateless JWT sessions; tokens remain valid until absolute expiration.</t>
  </si>
  <si>
    <t>JWT exp claims are configured and checked during token validation, but expiration behavior is not covered by dedicated tests or documented risk analysis.</t>
  </si>
  <si>
    <t>JwtService.java; application.yaml; application-test.yaml</t>
  </si>
  <si>
    <t>Expired JWTs are rejected by JwtService and frontend logout removes tokens from browser storage, but logout does not revoke JWTs server-side.</t>
  </si>
  <si>
    <t>JwtService.java; admin.html; analyst.html; auditor.html</t>
  </si>
  <si>
    <t>No evidence was found that active JWTs are invalidated when a user account is disabled or deleted; no user disable/delete flow or token revocation exists.</t>
  </si>
  <si>
    <t>User.java; CustomUserDetailsService.java; AdminController.java;</t>
  </si>
  <si>
    <t>Authenticated admin, analyst and auditor pages provide visible logout buttons that remove stored JWTs from sessionStorage and return to the login state.</t>
  </si>
  <si>
    <t>Function-level and object-level access rules are implemented and tested for ADMIN, ANALYST, AUDITOR and anonymous flows, but a complete documented access matrix was not found.</t>
  </si>
  <si>
    <t>SecurityConfig.java; RbacAuthorizationMatrixTest; AnalystCaseOwnershipTest; README.md</t>
  </si>
  <si>
    <t>Field-level restrictions are partially implemented for auditor views and evidence verification responses, but complete field-level read/write authorization rules are not documented.</t>
  </si>
  <si>
    <t>AuditReadService.java; AuditClosedCaseResponse.java; AuditorAuthorizationTest</t>
  </si>
  <si>
    <t>Function-level authorization is enforced server-side with Spring Security role rules for admin, analyst and audit endpoints, with tests for unauthenticated and forbidden access.</t>
  </si>
  <si>
    <t>SecurityConfig.java; AdminController.java; AnalystController.java; AuditController.java; RbacAuthorizationMatrixTest; AuditorAuthorizationTest</t>
  </si>
  <si>
    <t>Object-level authorization is enforced for analyst case visibility, assigned-case access, attachment downloads, tracking-code public flows and evidence package generation, with tests for cross-user access attempts.</t>
  </si>
  <si>
    <t>ReportService.java; CaseReviewService.java; CasePackageService.java; AnalystCaseOwnershipTest; ReportControllerAttachmentUploadTest; CasePackageServiceIntegrationTest</t>
  </si>
  <si>
    <t>Field-level authorization exists for auditor closed-case/evidence responses that omit sensitive report data and filenames, but field-level policy coverage is not complete across all DTOs and roles.</t>
  </si>
  <si>
    <t>AuditReadService.java; AuditClosedCaseResponse.java; EvidencePackageVerificationResponse.java; AuditorAuthorizationTest</t>
  </si>
  <si>
    <t>Authorization is enforced in Spring Security and backend services using authenticated roles, current principal and resource ownership checks; frontend UI visibility is not the trusted control.</t>
  </si>
  <si>
    <t>SecurityConfig.java; SecurityUtils.java; ReportService.java; CaseReviewService.java; CasePackageService.java</t>
  </si>
  <si>
    <t>JwtAuthenticationFilter.java; CustomUserDetailsService.java; User.java; No revocation tests found</t>
  </si>
  <si>
    <t>JWT filtering reloads user details from the database on each request, but there are no tests or revocation controls proving immediate enforcement after role, disable or permission changes.</t>
  </si>
  <si>
    <t>Object access decisions use the authenticated principal and resource ownership rather than a generic service account for analyst case and attachment operations.</t>
  </si>
  <si>
    <t>SecurityUtils.java; ReportService.checkInternalAccessToReport; CaseReviewService.getAccessibleCaseReview; AnalystCaseOwnershipTest</t>
  </si>
  <si>
    <t>Administrative endpoints require JWT authentication and ADMIN role, but no MFA, step-up authentication, continuous verification, device posture or contextual risk controls were found.</t>
  </si>
  <si>
    <t>SecurityConfig.java; AdminController.java; AdminBackupController.java; RbacAuthorizationMatrixTest</t>
  </si>
  <si>
    <t>JWT Bearer tokens are MAC-validated before authentication is established, but JwtAuthenticationFilter extracts the username from the token payload before signature validation and dedicated tamper tests were not found.</t>
  </si>
  <si>
    <t>JwtService.java; JwtAuthenticationFilter.java; SecurityConfig.java;</t>
  </si>
  <si>
    <t>JWT creation uses a fixed HS256 MAC, but token validation does not explicitly enforce an algorithm allowlist or reject unexpected alg header values before verification.</t>
  </si>
  <si>
    <t>JwtService.java; No JWT algorithm validation test found</t>
  </si>
  <si>
    <t>JWT validation key material comes from the trusted ghostreport.jwt.secret application configuration with a minimum length check; token header key sources such as jku, x5u or jwk are not processed.</t>
  </si>
  <si>
    <t>JWT exp is issued and checked during validation, but nbf is not used and dedicated expired-token tests were not found.</t>
  </si>
  <si>
    <t>JwtService.java; application.yaml;</t>
  </si>
  <si>
    <t>JWTs contain typ=JWT in the header, but no explicit token type or intended-purpose validation is performed before accepting token contents.</t>
  </si>
  <si>
    <t>JwtService.java;</t>
  </si>
  <si>
    <t>JWT audience claims are not issued or validated, so tokens are not restricted to an intended service audience.</t>
  </si>
  <si>
    <t>The same configured JWT signing secret is used without audience-restricted tokens because no aud claim is issued.</t>
  </si>
  <si>
    <t>Cryptographic usage is visible in code for HS256 JWTs, BCrypt, SHA-256 hashes and SecureRandom tracking codes, but no formal cryptographic inventory document was found.</t>
  </si>
  <si>
    <t>JwtService.java; SecurityConfig.java; TrackingCode.java; FileStorageService.java; BackupService.java</t>
  </si>
  <si>
    <t>The application uses Java JCA and Spring BCryptPasswordEncoder, but JWT handling is custom and lacks complete validation tests for algorithm and tampering behavior.</t>
  </si>
  <si>
    <t>JwtService.java; SecurityConfig.java;</t>
  </si>
  <si>
    <t>Some crypto parameters are configurable, such as JWT secret and expiration, but algorithm agility, key rotation and password hash parameter policy are not implemented or documented.</t>
  </si>
  <si>
    <t>application.yaml; JwtService.java; SecurityConfig.java</t>
  </si>
  <si>
    <t>HS256, SHA-256, BCrypt and 144-bit tracking code randomness are used, but production JWT secret entropy and key generation requirements are not documented or tested.</t>
  </si>
  <si>
    <t>JwtService.java; TrackingCode.java; BackupService.java; application.yaml</t>
  </si>
  <si>
    <t>BCrypt verification is delegated to Spring Security, but custom JWT signature comparison uses String.equals and no constant-time verification evidence was found.</t>
  </si>
  <si>
    <t>JwtService.java; SecurityConfig.java</t>
  </si>
  <si>
    <t>Invalid JWTs fail closed and SHA-256 failures throw exceptions, but failure-mode tests for crypto errors are incomplete.</t>
  </si>
  <si>
    <t>JwtService.java; BackupService.java; CasePackageService.java;</t>
  </si>
  <si>
    <t>Only SHA-256, HmacSHA256 and BCrypt were found for cryptographic hashing/signing; no MD5 or SHA-1 cryptographic use was found.</t>
  </si>
  <si>
    <t>JwtService.java; FileStorageService.java; BackupService.java; CasePackageService.java</t>
  </si>
  <si>
    <t>Staff passwords are stored using BCryptPasswordEncoder before persistence; no plaintext password storage path was found.</t>
  </si>
  <si>
    <t>SecurityConfig.java; UserService.java; User.java; AuthService.java</t>
  </si>
  <si>
    <t>File, backup and evidence package integrity uses SHA-256 hashes with verification tests for tampering.</t>
  </si>
  <si>
    <t>FileStorageService.java; BackupService.java; CasePackageService.java; BackupServiceIntegrationTest; AuditorAuthorizationTest</t>
  </si>
  <si>
    <t>Tracking codes are generated with SecureRandom using 18 random bytes and validated with a constrained format.</t>
  </si>
  <si>
    <t>TrackingCode.java; PublicReportFlowIntegrationTest</t>
  </si>
  <si>
    <t>SecureRandom is used for tracking codes, but no high-demand randomness or exhaustion tests were found.</t>
  </si>
  <si>
    <t>TrackingCode.java</t>
  </si>
  <si>
    <t>No public-key cryptographic authentication, encryption or signature algorithms are implemented by the application.</t>
  </si>
  <si>
    <t>N/A – public-key application crypto not in current Sprint 1 scope</t>
  </si>
  <si>
    <t>No application-managed key exchange protocol is implemented; TLS key exchange is deployment/platform controlled.</t>
  </si>
  <si>
    <t>N/A – application key exchange not in current Sprint 1 scope</t>
  </si>
  <si>
    <t>HSTS is configured and HTTPS/TLS is mentioned, but TLS protocol versions are not explicitly configured or tested in application/deployment files.</t>
  </si>
  <si>
    <t>SecurityConfig.java; README.md; application.yaml</t>
  </si>
  <si>
    <t>HSTS is configured, but Spring Boot TLS/HTTPS enforcement is not configured and frontend js/api.js still contains an http:// localhost API base.</t>
  </si>
  <si>
    <t>SecurityConfig.java; js/api.js; application.yaml</t>
  </si>
  <si>
    <t>Database connectivity is configured, but no evidence was found that PostgreSQL connections require TLS or encrypted transport.</t>
  </si>
  <si>
    <t>application.yaml; application-dev.yaml</t>
  </si>
  <si>
    <t>Multipart and rate-limit limits are configured, but full resource management, timeout, retry and release procedures are not documented.</t>
  </si>
  <si>
    <t>application.yaml; RateLimiterService.java; RateLimitProperties.java</t>
  </si>
  <si>
    <t>Critical secrets are externalized through environment variables, but rotation schedule and ownership are not documented.</t>
  </si>
  <si>
    <t>application.yaml; application-dev.yaml; secret-scan-gitleaks.yml</t>
  </si>
  <si>
    <t>Database username is externally configured, but no least-privilege database account policy or privilege evidence was found.</t>
  </si>
  <si>
    <t>application.yaml; No DB privilege documentation found</t>
  </si>
  <si>
    <t>Production configuration expects DB and JWT secrets from environment variables, but development defaults include postgres and a dev-only JWT secret.</t>
  </si>
  <si>
    <t>Rate limits and multipart size limits exist, but connection limits, timeouts and retry strategies are not fully configured or documented.</t>
  </si>
  <si>
    <t>application.yaml; RateLimiterService.java</t>
  </si>
  <si>
    <t>Production secrets are read from environment variables and gitleaks CI exists, but no vault/secrets manager is implemented and dev/test secrets remain in config.</t>
  </si>
  <si>
    <t>application.yaml; application-dev.yaml; application-test.yaml; secret-scan-gitleaks.yml</t>
  </si>
  <si>
    <t>No deployment artifact evidence was found showing that source control metadata such as .git is excluded from deployed assets.</t>
  </si>
  <si>
    <t>Production configuration disables H2 console and SQL display, uses validate DDL mode, and suppresses stack traces.</t>
  </si>
  <si>
    <t>application.yaml</t>
  </si>
  <si>
    <t>Spring Boot static serving does not normally expose directory listings, but no explicit test or deployment configuration verifies this.</t>
  </si>
  <si>
    <t>SecurityConfig.java; src/main/resources/static</t>
  </si>
  <si>
    <t>Controllers expose explicit HTTP methods, but HTTP TRACE is not explicitly disabled or tested.</t>
  </si>
  <si>
    <t>SecurityConfig.java; controllers; No TRACE test found</t>
  </si>
  <si>
    <t>No actuator or Swagger dependency was found and H2 console is disabled in production, but exposure of internal endpoints is not explicitly tested.</t>
  </si>
  <si>
    <t>pom.xml; application.yaml; SecurityConfig.java</t>
  </si>
  <si>
    <t>Stack traces are suppressed, but no evidence was found that backend server/framework version headers are removed or tested.</t>
  </si>
  <si>
    <t>application.yaml; GlobalExceptionHandler.java; SecurityHeadersTest</t>
  </si>
  <si>
    <t>Uploaded files are stored outside static resources and static assets are limited to project files, but no explicit web-tier extension allowlist was found.</t>
  </si>
  <si>
    <t>FileStorageService.java; SecurityConfig.java; src/main/resources/static</t>
  </si>
  <si>
    <t>Sensitive data types are visible in code, including report content, attachments, tracking code hashes, password hashes, JWTs, audit logs and backups, but formal classification was not found.</t>
  </si>
  <si>
    <t>Report.java; Attachment.java; User.java; BackupService.java; JwtService.java</t>
  </si>
  <si>
    <t>Access controls, hashing and integrity checks protect some sensitive data, but protection requirements by classification level are not documented.</t>
  </si>
  <si>
    <t>SecurityConfig.java; ReportService.java; BackupService.java; AuditorAuthorizationTest</t>
  </si>
  <si>
    <t>Login credentials and tracking verification use request bodies, but tracking codes are also placed in upload request parameters and frontend redirect URLs.</t>
  </si>
  <si>
    <t>ReportController.java; submit.html; track.html</t>
  </si>
  <si>
    <t>SecurityHeadersTest verifies no-store on a static page, but server-side cache/purge behavior for sensitive API responses, backups and generated evidence is not documented.</t>
  </si>
  <si>
    <t>SecurityHeadersTest; BackupService.java; CasePackageService.java</t>
  </si>
  <si>
    <t>No third-party trackers, CDN scripts, analytics or external client-side resources were found in static frontend files.</t>
  </si>
  <si>
    <t>static HTML files; js/api.js; CSS files</t>
  </si>
  <si>
    <t>RBAC, tracking-code checks, BCrypt, SHA-256 integrity and audit logging exist, but encryption at rest, retention and deletion controls are incomplete.</t>
  </si>
  <si>
    <t>SecurityConfig.java; ReportService.java; BackupService.java; CasePackageService.java</t>
  </si>
  <si>
    <t>Cache-Control no-store is tested for static HTML, but broad web cache deception coverage for authenticated API and download responses is not verified.</t>
  </si>
  <si>
    <t>Public and auditor responses omit some sensitive fields such as trackingCodeHash, descriptions and filenames, but full response minimization is not documented across all APIs.</t>
  </si>
  <si>
    <t>PublicReportFlowIntegrationTest; AuditorAuthorizationTest; AuditReadService.java</t>
  </si>
  <si>
    <t>SecurityHeadersTest; SecurityConfig.java; download endpoints</t>
  </si>
  <si>
    <t>Maven dependencies and OWASP Dependency-Check reporting are configured, but no formal SBOM artifact or documented dependency inventory process was found.</t>
  </si>
  <si>
    <t>pom.xml; .github/workflows/sca-dependency-check.yml</t>
  </si>
  <si>
    <t>Resource-demanding features are partially identifiable through uploads, backups and rate limits, but anti-availability-loss controls are not fully documented.</t>
  </si>
  <si>
    <t>application.yaml; RateLimiterService.java; FileStorageService.java; BackupService.java</t>
  </si>
  <si>
    <t>Dependency-Check can identify vulnerable components, but documentation naming risky third-party libraries was not found.</t>
  </si>
  <si>
    <t>Dangerous functionality such as file uploads, backup restore and evidence package generation exists and is protected in code, but a documented dangerous-functionality inventory was not found.</t>
  </si>
  <si>
    <t>FileStorageService.java; BackupService.java; CasePackageService.java; AdminBackupController.java</t>
  </si>
  <si>
    <t>Rate limits, multipart limits and file-size checks reduce availability risk, but backup/package resource limits and broader DoS controls are incomplete.</t>
  </si>
  <si>
    <t>RateLimiterService.java; RateLimiterServiceTest; application.yaml; FileStorageService.java</t>
  </si>
  <si>
    <t>Production config disables H2 console, seed users and stack traces, but no deployment artifact evidence proves test/dev functionality is excluded.</t>
  </si>
  <si>
    <t>Dependencies come from Maven defaults and SCA is configured, but dependency confusion controls such as repository allowlists or lock/pinning policy are not documented.</t>
  </si>
  <si>
    <t>Dangerous operations such as backup create/download/restore, evidence package generation and file access are protected by RBAC, path validation and integrity checks.</t>
  </si>
  <si>
    <t>SecurityConfig.java; AdminBackupController.java; BackupService.java; CasePackageService.java; AdminBackupControllerSecurityTest</t>
  </si>
  <si>
    <t>Most APIs use DTOs, but admin/audit endpoints return AuditLog and SecurityAlert entities directly, so field minimization is only partial.</t>
  </si>
  <si>
    <t>AdminController.java; AuditController.java; AuditReadService.java; AuditorAuthorizationTest</t>
  </si>
  <si>
    <t>Controllers bind request bodies to DTOs rather than JPA entities, limiting mass assignment exposure for reports, users and case updates.</t>
  </si>
  <si>
    <t>ReportController.java; AdminController.java; AnalystController.java; dto package</t>
  </si>
  <si>
    <t>Rate limiting uses HttpServletRequest.getRemoteAddr, but no trusted proxy/header policy for original client IP was found.</t>
  </si>
  <si>
    <t>ReportController.java; No trusted proxy header policy found</t>
  </si>
  <si>
    <t>Java code uses typed DTOs/enums and frontend JavaScript mostly uses strict comparison patterns, but no specific strict-type/equality review or tests were found.</t>
  </si>
  <si>
    <t>DTO classes; UserRole.java; static HTML/JS files</t>
  </si>
  <si>
    <t>Backend validation exists for request bodies and parameters, but no explicit defense or tests for duplicate HTTP parameters were found.</t>
  </si>
  <si>
    <t>ReportController.java; GlobalExceptionHandler.java</t>
  </si>
  <si>
    <t>Rate limiting and security monitoring use ConcurrentHashMap, but other shared business resources such as assignment and backups lack concurrency tests.</t>
  </si>
  <si>
    <t>RateLimiterService.java; SecurityMonitoringService.java; RateLimiterServiceTest</t>
  </si>
  <si>
    <t>Some path checks and restore staging reduce TOCTOU risk, but case assignment and backup operations lack transactional/locking evidence for atomic state changes.</t>
  </si>
  <si>
    <t>BackupService.java; CaseReviewService.java; No concurrency tests found</t>
  </si>
  <si>
    <t>Thread-safe map updates are localized in rate limiting/monitoring, but no broader locking design for resource-management code was found.</t>
  </si>
  <si>
    <t>RateLimiterService.java; SecurityMonitoringService.java</t>
  </si>
  <si>
    <t>Audit logs and security alerts are implemented, but no logging inventory documenting layers, formats, destinations, access and retention was found.</t>
  </si>
  <si>
    <t>AuditLogService.java; SecurityMonitoringService.java; AuditLog.java; SecurityAlert.java</t>
  </si>
  <si>
    <t>Audit and security alert entries include timestamp, actor, event type/action, target type, target id and details/description.</t>
  </si>
  <si>
    <t>AuditLog.java; SecurityAlert.java; AuditLogService.java; SecurityMonitoringService.java</t>
  </si>
  <si>
    <t>Audit timestamps use LocalDateTime without explicit UTC or offset; only some services use Instant/UTC for counters.</t>
  </si>
  <si>
    <t>AuditLog.java; SecurityAlert.java; RateLimiterService.java</t>
  </si>
  <si>
    <t>Logs are stored in application database tables, but documented log destinations and retention boundaries were not found.</t>
  </si>
  <si>
    <t>AuditLogRepository.java; SecurityAlertRepository.java;</t>
  </si>
  <si>
    <t>Logs are structured as JPA entities, but no common external log format, request correlation id or log processor integration was found.</t>
  </si>
  <si>
    <t>AuditLog.java; SecurityAlert.java; AuditController.java</t>
  </si>
  <si>
    <t>Log details are sanitized and tests check tracking-code leakage, but comprehensive masking policy for all sensitive data is incomplete.</t>
  </si>
  <si>
    <t>AuditLogService.java; SecurityMonitoringService.java; AnonymousDataLoggingTest; TrackingCodeEnumerationTest</t>
  </si>
  <si>
    <t>Some failed authorization events are logged or alerted, including analyst ownership violations and backup access attempts, but coverage is not complete for all 401/403 events.</t>
  </si>
  <si>
    <t>ReportService.java; SecurityConfig.java; AnalystCaseOwnershipTest; AdminBackupControllerSecurityTest</t>
  </si>
  <si>
    <t>AuthController.java; AuthService.java;</t>
  </si>
  <si>
    <t>Security bypass attempts such as tracking-code enumeration, rejected uploads, path traversal, backup integrity failures and ownership violations create security alerts.</t>
  </si>
  <si>
    <t>SecurityMonitoringService.java; TrackingCodeEnumerationTest; FileStorageServiceTest; AnalystCaseOwnershipTest</t>
  </si>
  <si>
    <t>Backup and upload failures are logged in selected services, but GlobalExceptionHandler does not log unexpected exceptions or security control failures centrally.</t>
  </si>
  <si>
    <t>BackupService.java; ReportService.java; GlobalExceptionHandler.java</t>
  </si>
  <si>
    <t>Audit and alert details remove CR/LF and control characters, but no dedicated log injection tests were found.</t>
  </si>
  <si>
    <t>AuditLogService.java; SecurityMonitoringService.java;</t>
  </si>
  <si>
    <t>Audit logs and alerts are protected by ADMIN/AUDITOR endpoint authorization, but append-only storage, tamper protection and retention controls are not implemented.</t>
  </si>
  <si>
    <t>SecurityConfig.java; AdminController.java; AuditController.java; AuditorAuthorizationTest</t>
  </si>
  <si>
    <t>GlobalExceptionHandler returns controlled errors and production configuration suppresses stack traces.</t>
  </si>
  <si>
    <t>GlobalExceptionHandler.java; application.yaml; PublicReportFlowIntegrationTest; ReportControllerAttachmentUploadTest</t>
  </si>
  <si>
    <t>File, backup and package failures return controlled errors, but no general resilience patterns for external resources or database failures were found.</t>
  </si>
  <si>
    <t>BackupService.java; FileStorageService.java; CasePackageService.java</t>
  </si>
  <si>
    <t>Many security failures return 400/403/429/500 without granting access, but fail-closed behavior is not systematically tested across all controls.</t>
  </si>
  <si>
    <t>ReportService.java; BackupService.java; RateLimiterService.java; security tests</t>
  </si>
  <si>
    <t>A global @RestControllerAdvice catches ResponseStatusException, validation errors, access denied errors and generic exceptions.</t>
  </si>
  <si>
    <t>GlobalExceptionHandler.java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</si>
</sst>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font>
    <font>
      <b/>
      <sz val="16"/>
      <color rgb="FFFFFFFF"/>
      <name val="Cambria"/>
    </font>
    <font>
      <i/>
      <sz val="10"/>
      <color rgb="FF595959"/>
      <name val="Cambria"/>
    </font>
    <font>
      <b/>
      <sz val="10"/>
      <name val="Cambria"/>
    </font>
    <font>
      <b/>
      <sz val="9"/>
      <name val="Cambria"/>
    </font>
    <font>
      <b/>
      <sz val="9"/>
      <color rgb="FFFFFFFF"/>
      <name val="Cambria"/>
    </font>
    <font>
      <sz val="10"/>
      <name val="Cambria"/>
    </font>
    <font>
      <b/>
      <sz val="11"/>
      <color rgb="FFFFFFFF"/>
      <name val="Cambria"/>
    </font>
    <font>
      <b/>
      <sz val="10"/>
      <color rgb="FFFFFFFF"/>
      <name val="Cambria"/>
    </font>
    <font>
      <b/>
      <sz val="10"/>
      <color rgb="FF1F3864"/>
      <name val="Cambria"/>
    </font>
    <font>
      <b/>
      <sz val="14"/>
      <name val="Calibri"/>
    </font>
    <font>
      <b/>
      <sz val="11"/>
      <name val="Calibri"/>
    </font>
    <font>
      <b/>
      <sz val="10"/>
      <color rgb="FFFFFFFF"/>
      <name val="Cambria"/>
      <family val="1"/>
    </font>
  </fonts>
  <fills count="13">
    <fill>
      <patternFill patternType="none"/>
    </fill>
    <fill>
      <patternFill patternType="gray125"/>
    </fill>
    <fill>
      <patternFill patternType="solid">
        <fgColor rgb="FF1F3864"/>
      </patternFill>
    </fill>
    <fill>
      <patternFill patternType="solid">
        <fgColor rgb="FFFFFFFF"/>
      </patternFill>
    </fill>
    <fill>
      <patternFill patternType="solid">
        <fgColor rgb="FFF7FBFF"/>
      </patternFill>
    </fill>
    <fill>
      <patternFill patternType="solid">
        <fgColor rgb="FFD6E4F0"/>
      </patternFill>
    </fill>
    <fill>
      <patternFill patternType="solid">
        <fgColor rgb="FFFFEB9C"/>
      </patternFill>
    </fill>
    <fill>
      <patternFill patternType="solid">
        <fgColor rgb="FFF2F2F2"/>
      </patternFill>
    </fill>
    <fill>
      <patternFill patternType="solid">
        <fgColor rgb="FFC6EFCE"/>
      </patternFill>
    </fill>
    <fill>
      <patternFill patternType="solid">
        <fgColor rgb="FFFABF8F"/>
      </patternFill>
    </fill>
    <fill>
      <patternFill patternType="solid">
        <fgColor rgb="FFFFFF00"/>
        <bgColor indexed="64"/>
      </patternFill>
    </fill>
    <fill>
      <patternFill patternType="solid">
        <fgColor rgb="FFFFEB9C"/>
        <bgColor indexed="64"/>
      </patternFill>
    </fill>
    <fill>
      <patternFill patternType="solid">
        <fgColor rgb="FFF7FBF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0" borderId="0" xfId="0" applyFont="1" applyAlignment="1">
      <alignment vertical="top" wrapText="1"/>
    </xf>
    <xf numFmtId="0" fontId="0" fillId="0" borderId="0" xfId="0" applyAlignment="1">
      <alignment vertical="top" wrapText="1"/>
    </xf>
    <xf numFmtId="0" fontId="11" fillId="0" borderId="0" xfId="0" applyFont="1" applyAlignment="1">
      <alignment vertical="top" wrapText="1"/>
    </xf>
    <xf numFmtId="0" fontId="0" fillId="10" borderId="1" xfId="0" applyFill="1" applyBorder="1" applyAlignment="1">
      <alignment horizontal="center" vertical="top"/>
    </xf>
    <xf numFmtId="0" fontId="0" fillId="0" borderId="1" xfId="0" applyBorder="1"/>
    <xf numFmtId="0" fontId="0" fillId="0" borderId="1" xfId="0" applyBorder="1" applyAlignment="1">
      <alignment horizontal="center" vertical="top"/>
    </xf>
    <xf numFmtId="0" fontId="0" fillId="0" borderId="1" xfId="0" applyBorder="1" applyAlignment="1">
      <alignment horizontal="left" vertical="top" wrapText="1"/>
    </xf>
    <xf numFmtId="0" fontId="3" fillId="11" borderId="1" xfId="0" applyFont="1" applyFill="1" applyBorder="1" applyAlignment="1">
      <alignment horizontal="center" vertical="top"/>
    </xf>
    <xf numFmtId="0" fontId="0" fillId="12" borderId="1" xfId="0" applyFill="1" applyBorder="1" applyAlignment="1">
      <alignment horizontal="left" vertical="top" wrapText="1"/>
    </xf>
    <xf numFmtId="0" fontId="12" fillId="2"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xf numFmtId="0" fontId="0" fillId="1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0.125</c:v>
                </c:pt>
                <c:pt idx="1">
                  <c:v>0.25</c:v>
                </c:pt>
                <c:pt idx="2">
                  <c:v>0.125</c:v>
                </c:pt>
                <c:pt idx="3">
                  <c:v>0</c:v>
                </c:pt>
                <c:pt idx="4">
                  <c:v>1</c:v>
                </c:pt>
                <c:pt idx="5">
                  <c:v>0.30769230769230771</c:v>
                </c:pt>
                <c:pt idx="6">
                  <c:v>0.16666666666666666</c:v>
                </c:pt>
                <c:pt idx="7">
                  <c:v>0.75</c:v>
                </c:pt>
                <c:pt idx="8">
                  <c:v>0.25</c:v>
                </c:pt>
                <c:pt idx="9">
                  <c:v>0</c:v>
                </c:pt>
                <c:pt idx="10">
                  <c:v>0.33333333333333331</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F1C8-4399-9F42-0A1F99DE2C4B}"/>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5.2631578947368418E-2</c:v>
                </c:pt>
                <c:pt idx="1">
                  <c:v>0</c:v>
                </c:pt>
                <c:pt idx="2">
                  <c:v>0.36363636363636365</c:v>
                </c:pt>
                <c:pt idx="3">
                  <c:v>0</c:v>
                </c:pt>
                <c:pt idx="4">
                  <c:v>0.4</c:v>
                </c:pt>
                <c:pt idx="5">
                  <c:v>4.5454545454545456E-2</c:v>
                </c:pt>
                <c:pt idx="6">
                  <c:v>8.3333333333333329E-2</c:v>
                </c:pt>
                <c:pt idx="7">
                  <c:v>0</c:v>
                </c:pt>
                <c:pt idx="8">
                  <c:v>0</c:v>
                </c:pt>
                <c:pt idx="9">
                  <c:v>0</c:v>
                </c:pt>
                <c:pt idx="10">
                  <c:v>0.27272727272727271</c:v>
                </c:pt>
                <c:pt idx="11">
                  <c:v>0</c:v>
                </c:pt>
                <c:pt idx="12">
                  <c:v>8.3333333333333329E-2</c:v>
                </c:pt>
                <c:pt idx="13">
                  <c:v>0.14285714285714285</c:v>
                </c:pt>
                <c:pt idx="14">
                  <c:v>0.1</c:v>
                </c:pt>
                <c:pt idx="15">
                  <c:v>0.1875</c:v>
                </c:pt>
                <c:pt idx="16">
                  <c:v>0</c:v>
                </c:pt>
              </c:numCache>
            </c:numRef>
          </c:val>
          <c:extLst>
            <c:ext xmlns:c16="http://schemas.microsoft.com/office/drawing/2014/chart" uri="{C3380CC4-5D6E-409C-BE32-E72D297353CC}">
              <c16:uniqueId val="{00000001-F1C8-4399-9F42-0A1F99DE2C4B}"/>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8.3333333333333329E-2</c:v>
                </c:pt>
                <c:pt idx="3">
                  <c:v>0</c:v>
                </c:pt>
                <c:pt idx="4">
                  <c:v>0.25</c:v>
                </c:pt>
                <c:pt idx="5">
                  <c:v>8.3333333333333329E-2</c:v>
                </c:pt>
                <c:pt idx="6">
                  <c:v>0</c:v>
                </c:pt>
                <c:pt idx="7">
                  <c:v>0.16666666666666666</c:v>
                </c:pt>
                <c:pt idx="8" formatCode="General">
                  <c:v>0</c:v>
                </c:pt>
                <c:pt idx="9">
                  <c:v>0</c:v>
                </c:pt>
                <c:pt idx="10">
                  <c:v>0</c:v>
                </c:pt>
                <c:pt idx="11">
                  <c:v>0</c:v>
                </c:pt>
                <c:pt idx="12">
                  <c:v>0</c:v>
                </c:pt>
                <c:pt idx="13">
                  <c:v>0</c:v>
                </c:pt>
                <c:pt idx="14">
                  <c:v>0.125</c:v>
                </c:pt>
                <c:pt idx="15">
                  <c:v>1</c:v>
                </c:pt>
              </c:numCache>
            </c:numRef>
          </c:val>
          <c:extLst>
            <c:ext xmlns:c16="http://schemas.microsoft.com/office/drawing/2014/chart" uri="{C3380CC4-5D6E-409C-BE32-E72D297353CC}">
              <c16:uniqueId val="{00000002-F1C8-4399-9F42-0A1F99DE2C4B}"/>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0.1</c:v>
                </c:pt>
                <c:pt idx="1">
                  <c:v>7.6923076923076927E-2</c:v>
                </c:pt>
                <c:pt idx="2">
                  <c:v>0.19354838709677419</c:v>
                </c:pt>
                <c:pt idx="3">
                  <c:v>0</c:v>
                </c:pt>
                <c:pt idx="4">
                  <c:v>0.53846153846153844</c:v>
                </c:pt>
                <c:pt idx="5">
                  <c:v>0.1276595744680851</c:v>
                </c:pt>
                <c:pt idx="6">
                  <c:v>0.10526315789473684</c:v>
                </c:pt>
                <c:pt idx="7">
                  <c:v>0.30769230769230771</c:v>
                </c:pt>
                <c:pt idx="8">
                  <c:v>0.14285714285714285</c:v>
                </c:pt>
                <c:pt idx="9">
                  <c:v>0</c:v>
                </c:pt>
                <c:pt idx="10">
                  <c:v>0.16666666666666666</c:v>
                </c:pt>
                <c:pt idx="11">
                  <c:v>0</c:v>
                </c:pt>
                <c:pt idx="12">
                  <c:v>4.7619047619047616E-2</c:v>
                </c:pt>
                <c:pt idx="13">
                  <c:v>7.6923076923076927E-2</c:v>
                </c:pt>
                <c:pt idx="14">
                  <c:v>9.5238095238095233E-2</c:v>
                </c:pt>
                <c:pt idx="15">
                  <c:v>0.23529411764705882</c:v>
                </c:pt>
                <c:pt idx="16">
                  <c:v>0</c:v>
                </c:pt>
              </c:numCache>
            </c:numRef>
          </c:val>
          <c:extLst>
            <c:ext xmlns:c16="http://schemas.microsoft.com/office/drawing/2014/chart" uri="{C3380CC4-5D6E-409C-BE32-E72D297353CC}">
              <c16:uniqueId val="{00000003-F1C8-4399-9F42-0A1F99DE2C4B}"/>
            </c:ext>
          </c:extLst>
        </c:ser>
        <c:dLbls>
          <c:showLegendKey val="0"/>
          <c:showVal val="0"/>
          <c:showCatName val="0"/>
          <c:showSerName val="0"/>
          <c:showPercent val="0"/>
          <c:showBubbleSize val="0"/>
        </c:dLbls>
        <c:gapWidth val="100"/>
        <c:axId val="48650112"/>
        <c:axId val="48672768"/>
      </c:barChart>
      <c:catAx>
        <c:axId val="48650112"/>
        <c:scaling>
          <c:orientation val="minMax"/>
        </c:scaling>
        <c:delete val="0"/>
        <c:axPos val="l"/>
        <c:numFmt formatCode="General" sourceLinked="1"/>
        <c:majorTickMark val="out"/>
        <c:minorTickMark val="none"/>
        <c:tickLblPos val="nextTo"/>
        <c:spPr>
          <a:ln>
            <a:solidFill>
              <a:srgbClr val="B3B3B3"/>
            </a:solidFill>
            <a:prstDash val="solid"/>
          </a:ln>
        </c:spPr>
        <c:txPr>
          <a:bodyPr anchorCtr="1"/>
          <a:lstStyle/>
          <a:p>
            <a:pPr>
              <a:defRPr sz="1000" b="0" spc="-1">
                <a:latin typeface="Arial"/>
                <a:ea typeface="Arial"/>
                <a:cs typeface="Arial"/>
              </a:defRPr>
            </a:pPr>
            <a:endParaRPr lang="pt-PT"/>
          </a:p>
        </c:txPr>
        <c:crossAx val="48672768"/>
        <c:crosses val="autoZero"/>
        <c:auto val="1"/>
        <c:lblAlgn val="ctr"/>
        <c:lblOffset val="100"/>
        <c:noMultiLvlLbl val="0"/>
      </c:catAx>
      <c:valAx>
        <c:axId val="48672768"/>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nchorCtr="1"/>
          <a:lstStyle/>
          <a:p>
            <a:pPr>
              <a:defRPr sz="1000" b="0" spc="-1">
                <a:latin typeface="Arial"/>
                <a:ea typeface="Arial"/>
                <a:cs typeface="Arial"/>
              </a:defRPr>
            </a:pPr>
            <a:endParaRPr lang="pt-PT"/>
          </a:p>
        </c:txPr>
        <c:crossAx val="48650112"/>
        <c:crosses val="autoZero"/>
        <c:crossBetween val="between"/>
      </c:valAx>
    </c:plotArea>
    <c:legend>
      <c:legendPos val="r"/>
      <c:overlay val="0"/>
      <c:spPr>
        <a:noFill/>
        <a:ln>
          <a:noFill/>
          <a:prstDash val="solid"/>
        </a:ln>
      </c:spPr>
      <c:txPr>
        <a:bodyPr anchorCtr="1"/>
        <a:lstStyle/>
        <a:p>
          <a:pPr>
            <a:defRPr sz="1000" b="0" spc="-1">
              <a:latin typeface="Arial"/>
              <a:ea typeface="Arial"/>
              <a:cs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workbookViewId="0">
      <selection activeCell="E7" sqref="E7"/>
    </sheetView>
  </sheetViews>
  <sheetFormatPr defaultColWidth="8.42578125" defaultRowHeight="15" x14ac:dyDescent="0.25"/>
  <cols>
    <col min="1" max="1" width="34" customWidth="1"/>
    <col min="2" max="13" width="11" customWidth="1"/>
  </cols>
  <sheetData>
    <row r="1" spans="1:16" ht="36" customHeight="1" x14ac:dyDescent="0.25">
      <c r="A1" s="34" t="s">
        <v>43</v>
      </c>
      <c r="B1" s="35"/>
      <c r="C1" s="35"/>
      <c r="D1" s="35"/>
      <c r="E1" s="35"/>
      <c r="F1" s="35"/>
      <c r="G1" s="35"/>
      <c r="H1" s="35"/>
      <c r="I1" s="35"/>
      <c r="J1" s="35"/>
      <c r="K1" s="35"/>
      <c r="L1" s="35"/>
      <c r="M1" s="35"/>
      <c r="N1" s="35"/>
      <c r="O1" s="35"/>
      <c r="P1" s="35"/>
    </row>
    <row r="2" spans="1:16" ht="20.100000000000001" customHeight="1" x14ac:dyDescent="0.25">
      <c r="A2" s="37"/>
      <c r="B2" s="35"/>
      <c r="C2" s="35"/>
      <c r="D2" s="35"/>
      <c r="E2" s="35"/>
      <c r="F2" s="35"/>
      <c r="G2" s="35"/>
      <c r="H2" s="35"/>
      <c r="I2" s="35"/>
      <c r="J2" s="35"/>
      <c r="K2" s="35"/>
      <c r="L2" s="35"/>
      <c r="M2" s="35"/>
      <c r="N2" s="35"/>
      <c r="O2" s="35"/>
      <c r="P2" s="35"/>
    </row>
    <row r="3" spans="1:16" ht="18" customHeight="1" x14ac:dyDescent="0.25">
      <c r="A3" s="36"/>
      <c r="B3" s="35"/>
      <c r="C3" s="1"/>
      <c r="E3" s="1"/>
      <c r="G3" s="1"/>
      <c r="I3" s="1"/>
      <c r="K3" s="1"/>
      <c r="M3" s="1"/>
      <c r="O3" s="1"/>
    </row>
    <row r="5" spans="1:16" ht="32.1" customHeight="1" x14ac:dyDescent="0.25">
      <c r="A5" s="2" t="s">
        <v>44</v>
      </c>
      <c r="B5" s="2" t="s">
        <v>45</v>
      </c>
      <c r="C5" s="2" t="s">
        <v>46</v>
      </c>
      <c r="D5" s="2" t="s">
        <v>47</v>
      </c>
      <c r="E5" s="2" t="s">
        <v>48</v>
      </c>
      <c r="F5" s="2" t="s">
        <v>49</v>
      </c>
      <c r="G5" s="2" t="s">
        <v>50</v>
      </c>
      <c r="H5" s="2" t="s">
        <v>51</v>
      </c>
      <c r="I5" s="2" t="s">
        <v>52</v>
      </c>
      <c r="J5" s="2" t="s">
        <v>53</v>
      </c>
      <c r="K5" s="2" t="s">
        <v>54</v>
      </c>
      <c r="L5" s="2" t="s">
        <v>55</v>
      </c>
      <c r="M5" s="2" t="s">
        <v>56</v>
      </c>
    </row>
    <row r="6" spans="1:16" ht="18" customHeight="1" x14ac:dyDescent="0.25">
      <c r="A6" s="3" t="s">
        <v>57</v>
      </c>
      <c r="B6" s="4">
        <v>30</v>
      </c>
      <c r="C6" s="4">
        <v>8</v>
      </c>
      <c r="D6" s="4">
        <f>COUNTIFS('V1 - Encoding and Sanitization'!$F$2:$F$36,"Compliant",'V1 - Encoding and Sanitization'!$E$2:$E$36,1)</f>
        <v>1</v>
      </c>
      <c r="E6" s="5">
        <f t="shared" ref="E6:E20" si="0">IF(C6=0,"",D6/C6)</f>
        <v>0.125</v>
      </c>
      <c r="F6" s="4">
        <v>19</v>
      </c>
      <c r="G6" s="4">
        <f>COUNTIFS('V1 - Encoding and Sanitization'!$F$2:$F$36,"Compliant",'V1 - Encoding and Sanitization'!$E$2:$E$36,2)</f>
        <v>1</v>
      </c>
      <c r="H6" s="5">
        <f t="shared" ref="H6:H22" si="1">IF(F6=0,"",G6/F6)</f>
        <v>5.2631578947368418E-2</v>
      </c>
      <c r="I6" s="4">
        <v>3</v>
      </c>
      <c r="J6" s="4">
        <f>COUNTIFS('V1 - Encoding and Sanitization'!$F$2:$F$36,"Compliant",'V1 - Encoding and Sanitization'!$E$2:$E$36,3)</f>
        <v>1</v>
      </c>
      <c r="K6" s="5">
        <f t="shared" ref="K6:K13" si="2">IF(I6=0,"",J6/I6)</f>
        <v>0.33333333333333331</v>
      </c>
      <c r="L6" s="4">
        <f>COUNTIF('V1 - Encoding and Sanitization'!$F$2:$F$36,"Compliant")</f>
        <v>3</v>
      </c>
      <c r="M6" s="5">
        <f t="shared" ref="M6:M22" si="3">IF(B6=0,"",L6/B6)</f>
        <v>0.1</v>
      </c>
    </row>
    <row r="7" spans="1:16" ht="18" customHeight="1" x14ac:dyDescent="0.25">
      <c r="A7" s="6" t="s">
        <v>58</v>
      </c>
      <c r="B7" s="7">
        <v>13</v>
      </c>
      <c r="C7" s="7">
        <v>4</v>
      </c>
      <c r="D7" s="7">
        <f>COUNTIFS('V2 - Validation and Business Lo'!$F$2:$F$18,"Compliant",'V2 - Validation and Business Lo'!$E$2:$E$18,1)</f>
        <v>1</v>
      </c>
      <c r="E7" s="8">
        <f t="shared" si="0"/>
        <v>0.25</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1</v>
      </c>
      <c r="M7" s="8">
        <f t="shared" si="3"/>
        <v>7.6923076923076927E-2</v>
      </c>
    </row>
    <row r="8" spans="1:16" ht="18" customHeight="1" x14ac:dyDescent="0.25">
      <c r="A8" s="3" t="s">
        <v>59</v>
      </c>
      <c r="B8" s="4">
        <v>31</v>
      </c>
      <c r="C8" s="4">
        <v>8</v>
      </c>
      <c r="D8" s="4">
        <f>COUNTIFS('V3 - Web Frontend Security'!$F$2:$F$39,"Compliant",'V3 - Web Frontend Security'!$E$2:$E$39,1)</f>
        <v>1</v>
      </c>
      <c r="E8" s="5">
        <f t="shared" si="0"/>
        <v>0.125</v>
      </c>
      <c r="F8" s="4">
        <v>11</v>
      </c>
      <c r="G8" s="4">
        <f>COUNTIFS('V3 - Web Frontend Security'!$F$2:$F$39,"Compliant",'V3 - Web Frontend Security'!$E$2:$E$39,2)</f>
        <v>4</v>
      </c>
      <c r="H8" s="5">
        <f t="shared" si="1"/>
        <v>0.36363636363636365</v>
      </c>
      <c r="I8" s="4">
        <v>12</v>
      </c>
      <c r="J8" s="4">
        <f>COUNTIFS('V3 - Web Frontend Security'!$F$2:$F$39,"Compliant",'V3 - Web Frontend Security'!$E$2:$E$39,3)</f>
        <v>1</v>
      </c>
      <c r="K8" s="5">
        <f t="shared" si="2"/>
        <v>8.3333333333333329E-2</v>
      </c>
      <c r="L8" s="4">
        <f>COUNTIF('V3 - Web Frontend Security'!$F$2:$F$39,"Compliant")</f>
        <v>6</v>
      </c>
      <c r="M8" s="5">
        <f t="shared" si="3"/>
        <v>0.19354838709677419</v>
      </c>
    </row>
    <row r="9" spans="1:16" ht="18" customHeight="1" x14ac:dyDescent="0.25">
      <c r="A9" s="6" t="s">
        <v>60</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25">
      <c r="A10" s="3" t="s">
        <v>61</v>
      </c>
      <c r="B10" s="4">
        <v>13</v>
      </c>
      <c r="C10" s="4">
        <v>4</v>
      </c>
      <c r="D10" s="4">
        <f>COUNTIFS('V5 - File Handling'!$F$2:$F$18,"Compliant",'V5 - File Handling'!$E$2:$E$18,1)</f>
        <v>4</v>
      </c>
      <c r="E10" s="5">
        <f t="shared" si="0"/>
        <v>1</v>
      </c>
      <c r="F10" s="4">
        <v>5</v>
      </c>
      <c r="G10" s="4">
        <f>COUNTIFS('V5 - File Handling'!$F$2:$F$18,"Compliant",'V5 - File Handling'!$E$2:$E$18,2)</f>
        <v>2</v>
      </c>
      <c r="H10" s="5">
        <f t="shared" si="1"/>
        <v>0.4</v>
      </c>
      <c r="I10" s="4">
        <v>4</v>
      </c>
      <c r="J10" s="4">
        <f>COUNTIFS('V5 - File Handling'!$F$2:$F$18,"Compliant",'V5 - File Handling'!$E$2:$E$18,3)</f>
        <v>1</v>
      </c>
      <c r="K10" s="5">
        <f t="shared" si="2"/>
        <v>0.25</v>
      </c>
      <c r="L10" s="4">
        <f>COUNTIF('V5 - File Handling'!$F$2:$F$18,"Compliant")</f>
        <v>7</v>
      </c>
      <c r="M10" s="5">
        <f t="shared" si="3"/>
        <v>0.53846153846153844</v>
      </c>
    </row>
    <row r="11" spans="1:16" ht="18" customHeight="1" x14ac:dyDescent="0.25">
      <c r="A11" s="6" t="s">
        <v>62</v>
      </c>
      <c r="B11" s="7">
        <v>47</v>
      </c>
      <c r="C11" s="7">
        <v>13</v>
      </c>
      <c r="D11" s="7">
        <f>COUNTIFS('V6 - Authentication'!$F$2:$F$56,"Compliant",'V6 - Authentication'!$E$2:$E$56,1)</f>
        <v>4</v>
      </c>
      <c r="E11" s="8">
        <f t="shared" si="0"/>
        <v>0.30769230769230771</v>
      </c>
      <c r="F11" s="7">
        <v>22</v>
      </c>
      <c r="G11" s="7">
        <f>COUNTIFS('V6 - Authentication'!$F$2:$F$56,"Compliant",'V6 - Authentication'!$E$2:$E$56,2)</f>
        <v>1</v>
      </c>
      <c r="H11" s="8">
        <f t="shared" si="1"/>
        <v>4.5454545454545456E-2</v>
      </c>
      <c r="I11" s="7">
        <v>12</v>
      </c>
      <c r="J11" s="7">
        <f>COUNTIFS('V6 - Authentication'!$F$2:$F$56,"Compliant",'V6 - Authentication'!$E$2:$E$56,3)</f>
        <v>1</v>
      </c>
      <c r="K11" s="8">
        <f t="shared" si="2"/>
        <v>8.3333333333333329E-2</v>
      </c>
      <c r="L11" s="7">
        <f>COUNTIF('V6 - Authentication'!$F$2:$F$56,"Compliant")</f>
        <v>6</v>
      </c>
      <c r="M11" s="8">
        <f t="shared" si="3"/>
        <v>0.1276595744680851</v>
      </c>
    </row>
    <row r="12" spans="1:16" ht="18" customHeight="1" x14ac:dyDescent="0.25">
      <c r="A12" s="3" t="s">
        <v>63</v>
      </c>
      <c r="B12" s="4">
        <v>19</v>
      </c>
      <c r="C12" s="4">
        <v>6</v>
      </c>
      <c r="D12" s="4">
        <f>COUNTIFS('V7 - Session Management'!$F$2:$F$26,"Compliant",'V7 - Session Management'!$E$2:$E$26,1)</f>
        <v>1</v>
      </c>
      <c r="E12" s="5">
        <f t="shared" si="0"/>
        <v>0.16666666666666666</v>
      </c>
      <c r="F12" s="4">
        <v>12</v>
      </c>
      <c r="G12" s="4">
        <f>COUNTIFS('V7 - Session Management'!$F$2:$F$26,"Compliant",'V7 - Session Management'!$E$2:$E$26,2)</f>
        <v>1</v>
      </c>
      <c r="H12" s="5">
        <f t="shared" si="1"/>
        <v>8.3333333333333329E-2</v>
      </c>
      <c r="I12" s="4">
        <v>1</v>
      </c>
      <c r="J12" s="4">
        <f>COUNTIFS('V7 - Session Management'!$F$2:$F$26,"Compliant",'V7 - Session Management'!$E$2:$E$26,3)</f>
        <v>0</v>
      </c>
      <c r="K12" s="5">
        <f t="shared" si="2"/>
        <v>0</v>
      </c>
      <c r="L12" s="4">
        <f>COUNTIF('V7 - Session Management'!$F$2:$F$26,"Compliant")</f>
        <v>2</v>
      </c>
      <c r="M12" s="5">
        <f t="shared" si="3"/>
        <v>0.10526315789473684</v>
      </c>
    </row>
    <row r="13" spans="1:16" ht="18" customHeight="1" x14ac:dyDescent="0.25">
      <c r="A13" s="6" t="s">
        <v>64</v>
      </c>
      <c r="B13" s="7">
        <v>13</v>
      </c>
      <c r="C13" s="7">
        <v>4</v>
      </c>
      <c r="D13" s="7">
        <f>COUNTIFS('V8 - Authorization'!$F$2:$F$18,"Compliant",'V8 - Authorization'!$E$2:$E$18,1)</f>
        <v>3</v>
      </c>
      <c r="E13" s="8">
        <f t="shared" si="0"/>
        <v>0.75</v>
      </c>
      <c r="F13" s="7">
        <v>3</v>
      </c>
      <c r="G13" s="7">
        <f>COUNTIFS('V8 - Authorization'!$F$2:$F$18,"Compliant",'V8 - Authorization'!$E$2:$E$18,2)</f>
        <v>0</v>
      </c>
      <c r="H13" s="8">
        <f t="shared" si="1"/>
        <v>0</v>
      </c>
      <c r="I13" s="7">
        <v>6</v>
      </c>
      <c r="J13" s="7">
        <f>COUNTIFS('V8 - Authorization'!$F$2:$F$18,"Compliant",'V8 - Authorization'!$E$2:$E$18,3)</f>
        <v>1</v>
      </c>
      <c r="K13" s="8">
        <f t="shared" si="2"/>
        <v>0.16666666666666666</v>
      </c>
      <c r="L13" s="7">
        <f>COUNTIF('V8 - Authorization'!$F$2:$F$18,"Compliant")</f>
        <v>4</v>
      </c>
      <c r="M13" s="8">
        <f t="shared" si="3"/>
        <v>0.30769230769230771</v>
      </c>
    </row>
    <row r="14" spans="1:16" ht="18" customHeight="1" x14ac:dyDescent="0.25">
      <c r="A14" s="3" t="s">
        <v>65</v>
      </c>
      <c r="B14" s="4">
        <v>7</v>
      </c>
      <c r="C14" s="4">
        <v>4</v>
      </c>
      <c r="D14" s="4">
        <f>COUNTIFS('V9 - Self-contained Tokens'!$F$2:$F$10,"Compliant",'V9 - Self-contained Tokens'!$E$2:$E$10,1)</f>
        <v>1</v>
      </c>
      <c r="E14" s="5">
        <f t="shared" si="0"/>
        <v>0.25</v>
      </c>
      <c r="F14" s="4">
        <v>3</v>
      </c>
      <c r="G14" s="4">
        <f>COUNTIFS('V9 - Self-contained Tokens'!$F$2:$F$10,"Compliant",'V9 - Self-contained Tokens'!$E$2:$E$10,2)</f>
        <v>0</v>
      </c>
      <c r="H14" s="5">
        <f t="shared" si="1"/>
        <v>0</v>
      </c>
      <c r="I14" s="4">
        <v>0</v>
      </c>
      <c r="J14" s="4" t="s">
        <v>66</v>
      </c>
      <c r="K14" s="4" t="s">
        <v>66</v>
      </c>
      <c r="L14" s="4">
        <f>COUNTIF('V9 - Self-contained Tokens'!$F$2:$F$10,"Compliant")</f>
        <v>1</v>
      </c>
      <c r="M14" s="5">
        <f t="shared" si="3"/>
        <v>0.14285714285714285</v>
      </c>
    </row>
    <row r="15" spans="1:16" ht="18" customHeight="1" x14ac:dyDescent="0.25">
      <c r="A15" s="6" t="s">
        <v>67</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5">
      <c r="A16" s="3" t="s">
        <v>68</v>
      </c>
      <c r="B16" s="4">
        <v>24</v>
      </c>
      <c r="C16" s="4">
        <v>3</v>
      </c>
      <c r="D16" s="4">
        <f>COUNTIFS('V11 - Cryptography'!$F$2:$F$32,"Compliant",'V11 - Cryptography'!$E$2:$E$32,1)</f>
        <v>1</v>
      </c>
      <c r="E16" s="5">
        <f t="shared" si="0"/>
        <v>0.33333333333333331</v>
      </c>
      <c r="F16" s="4">
        <v>11</v>
      </c>
      <c r="G16" s="4">
        <f>COUNTIFS('V11 - Cryptography'!$F$2:$F$32,"Compliant",'V11 - Cryptography'!$E$2:$E$32,2)</f>
        <v>3</v>
      </c>
      <c r="H16" s="5">
        <f t="shared" si="1"/>
        <v>0.27272727272727271</v>
      </c>
      <c r="I16" s="4">
        <v>10</v>
      </c>
      <c r="J16" s="4">
        <f>COUNTIFS('V11 - Cryptography'!$F$2:$F$32,"Compliant",'V11 - Cryptography'!$E$2:$E$32,3)</f>
        <v>0</v>
      </c>
      <c r="K16" s="5">
        <f t="shared" si="4"/>
        <v>0</v>
      </c>
      <c r="L16" s="4">
        <f>COUNTIF('V11 - Cryptography'!$F$2:$F$32,"Compliant")</f>
        <v>4</v>
      </c>
      <c r="M16" s="5">
        <f t="shared" si="3"/>
        <v>0.16666666666666666</v>
      </c>
    </row>
    <row r="17" spans="1:13" ht="18" customHeight="1" x14ac:dyDescent="0.25">
      <c r="A17" s="6" t="s">
        <v>69</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5">
      <c r="A18" s="3" t="s">
        <v>70</v>
      </c>
      <c r="B18" s="4">
        <v>21</v>
      </c>
      <c r="C18" s="4">
        <v>1</v>
      </c>
      <c r="D18" s="4">
        <f>COUNTIFS('V13 - Configuration'!$F$2:$F$26,"Compliant",'V13 - Configuration'!$E$2:$E$26,1)</f>
        <v>0</v>
      </c>
      <c r="E18" s="5">
        <f t="shared" si="0"/>
        <v>0</v>
      </c>
      <c r="F18" s="4">
        <v>12</v>
      </c>
      <c r="G18" s="4">
        <f>COUNTIFS('V13 - Configuration'!$F$2:$F$26,"Compliant",'V13 - Configuration'!$E$2:$E$26,2)</f>
        <v>1</v>
      </c>
      <c r="H18" s="5">
        <f t="shared" si="1"/>
        <v>8.3333333333333329E-2</v>
      </c>
      <c r="I18" s="4">
        <v>8</v>
      </c>
      <c r="J18" s="4">
        <f>COUNTIFS('V13 - Configuration'!$F$2:$F$26,"Compliant",'V13 - Configuration'!$E$2:$E$26,3)</f>
        <v>0</v>
      </c>
      <c r="K18" s="5">
        <f t="shared" si="4"/>
        <v>0</v>
      </c>
      <c r="L18" s="4">
        <f>COUNTIF('V13 - Configuration'!$F$2:$F$26,"Compliant")</f>
        <v>1</v>
      </c>
      <c r="M18" s="5">
        <f t="shared" si="3"/>
        <v>4.7619047619047616E-2</v>
      </c>
    </row>
    <row r="19" spans="1:13" ht="18" customHeight="1" x14ac:dyDescent="0.25">
      <c r="A19" s="6" t="s">
        <v>71</v>
      </c>
      <c r="B19" s="7">
        <v>13</v>
      </c>
      <c r="C19" s="7">
        <v>2</v>
      </c>
      <c r="D19" s="7">
        <f>COUNTIFS('V14 - Data Protection'!$F$2:$F$17,"Compliant",'V14 - Data Protection'!$E$2:$E$17,1)</f>
        <v>0</v>
      </c>
      <c r="E19" s="8">
        <f t="shared" si="0"/>
        <v>0</v>
      </c>
      <c r="F19" s="7">
        <v>7</v>
      </c>
      <c r="G19" s="7">
        <f>COUNTIFS('V14 - Data Protection'!$F$2:$F$17,"Compliant",'V14 - Data Protection'!$E$2:$E$17,2)</f>
        <v>1</v>
      </c>
      <c r="H19" s="8">
        <f t="shared" si="1"/>
        <v>0.14285714285714285</v>
      </c>
      <c r="I19" s="7">
        <v>4</v>
      </c>
      <c r="J19" s="7">
        <f>COUNTIFS('V14 - Data Protection'!$F$2:$F$17,"Compliant",'V14 - Data Protection'!$E$2:$E$17,3)</f>
        <v>0</v>
      </c>
      <c r="K19" s="8">
        <f t="shared" si="4"/>
        <v>0</v>
      </c>
      <c r="L19" s="7">
        <f>COUNTIF('V14 - Data Protection'!$F$2:$F$17,"Compliant")</f>
        <v>1</v>
      </c>
      <c r="M19" s="8">
        <f t="shared" si="3"/>
        <v>7.6923076923076927E-2</v>
      </c>
    </row>
    <row r="20" spans="1:13" ht="18" customHeight="1" x14ac:dyDescent="0.25">
      <c r="A20" s="3" t="s">
        <v>72</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1</v>
      </c>
      <c r="H20" s="5">
        <f t="shared" si="1"/>
        <v>0.1</v>
      </c>
      <c r="I20" s="4">
        <v>8</v>
      </c>
      <c r="J20" s="4">
        <f>COUNTIFS('V15 - Secure Coding and Archite'!$F$2:$F$26,"Compliant",'V15 - Secure Coding and Archite'!$E$2:$E$26,3)</f>
        <v>1</v>
      </c>
      <c r="K20" s="5">
        <f t="shared" si="4"/>
        <v>0.125</v>
      </c>
      <c r="L20" s="4">
        <f>COUNTIF('V15 - Secure Coding and Archite'!$F$2:$F$26,"Compliant")</f>
        <v>2</v>
      </c>
      <c r="M20" s="5">
        <f t="shared" si="3"/>
        <v>9.5238095238095233E-2</v>
      </c>
    </row>
    <row r="21" spans="1:13" ht="18" customHeight="1" x14ac:dyDescent="0.25">
      <c r="A21" s="6" t="s">
        <v>73</v>
      </c>
      <c r="B21" s="7">
        <v>17</v>
      </c>
      <c r="C21" s="7">
        <v>0</v>
      </c>
      <c r="D21" s="7" t="s">
        <v>66</v>
      </c>
      <c r="E21" s="7" t="s">
        <v>66</v>
      </c>
      <c r="F21" s="7">
        <v>16</v>
      </c>
      <c r="G21" s="7">
        <f>COUNTIFS('V16 - Security Logging and Erro'!$F$2:$F$23,"Compliant",'V16 - Security Logging and Erro'!$E$2:$E$23,2)</f>
        <v>3</v>
      </c>
      <c r="H21" s="8">
        <f t="shared" si="1"/>
        <v>0.1875</v>
      </c>
      <c r="I21" s="7">
        <v>1</v>
      </c>
      <c r="J21" s="7">
        <f>COUNTIFS('V16 - Security Logging and Erro'!$F$2:$F$23,"Compliant",'V16 - Security Logging and Erro'!$E$2:$E$23,3)</f>
        <v>1</v>
      </c>
      <c r="K21" s="8">
        <f t="shared" si="4"/>
        <v>1</v>
      </c>
      <c r="L21" s="7">
        <f>COUNTIF('V16 - Security Logging and Erro'!$F$2:$F$23,"Compliant")</f>
        <v>4</v>
      </c>
      <c r="M21" s="8">
        <f t="shared" si="3"/>
        <v>0.23529411764705882</v>
      </c>
    </row>
    <row r="22" spans="1:13" ht="18" customHeight="1" x14ac:dyDescent="0.25">
      <c r="A22" s="3" t="s">
        <v>74</v>
      </c>
      <c r="B22" s="4">
        <v>12</v>
      </c>
      <c r="C22" s="4">
        <v>0</v>
      </c>
      <c r="D22" s="4" t="s">
        <v>66</v>
      </c>
      <c r="E22" s="4" t="s">
        <v>66</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95" customHeight="1" x14ac:dyDescent="0.25">
      <c r="A23" s="9" t="s">
        <v>75</v>
      </c>
      <c r="B23" s="10">
        <f>SUM(B6:B22)</f>
        <v>345</v>
      </c>
      <c r="C23" s="10">
        <f>SUM(C6:C22)</f>
        <v>70</v>
      </c>
      <c r="D23" s="10">
        <f>SUM(D6:D22)</f>
        <v>17</v>
      </c>
      <c r="E23" s="11">
        <f>IFERROR(AVERAGE(E6:E22),"")</f>
        <v>0.22051282051282053</v>
      </c>
      <c r="F23" s="10">
        <f>SUM(F6:F22)</f>
        <v>183</v>
      </c>
      <c r="G23" s="10">
        <f>SUM(G6:G22)</f>
        <v>18</v>
      </c>
      <c r="H23" s="11">
        <f>IFERROR(AVERAGE(H6:H22),"")</f>
        <v>0.1018513864876094</v>
      </c>
      <c r="I23" s="10">
        <f>SUM(I6:I22)</f>
        <v>92</v>
      </c>
      <c r="J23" s="10">
        <f>SUM(J6:J22)</f>
        <v>7</v>
      </c>
      <c r="K23" s="11">
        <f>IFERROR(AVERAGE(K6:K22),"")</f>
        <v>0.12760416666666666</v>
      </c>
      <c r="L23" s="10">
        <f>SUM(L6:L22)</f>
        <v>42</v>
      </c>
      <c r="M23" s="11">
        <f>IFERROR(AVERAGE(M6:M22),"")</f>
        <v>0.13024389349927101</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heetViews>
  <sheetFormatPr defaultColWidth="8.85546875" defaultRowHeight="15" x14ac:dyDescent="0.25"/>
  <cols>
    <col min="1" max="1" width="110" customWidth="1"/>
  </cols>
  <sheetData>
    <row r="1" spans="1:1" ht="18.75" customHeight="1" x14ac:dyDescent="0.25">
      <c r="A1" s="24" t="s">
        <v>76</v>
      </c>
    </row>
    <row r="2" spans="1:1" x14ac:dyDescent="0.25">
      <c r="A2" s="25"/>
    </row>
    <row r="3" spans="1:1" x14ac:dyDescent="0.25">
      <c r="A3" s="26" t="s">
        <v>77</v>
      </c>
    </row>
    <row r="4" spans="1:1" x14ac:dyDescent="0.25">
      <c r="A4" s="25" t="s">
        <v>78</v>
      </c>
    </row>
    <row r="5" spans="1:1" ht="30" customHeight="1" x14ac:dyDescent="0.25">
      <c r="A5" s="25" t="s">
        <v>79</v>
      </c>
    </row>
    <row r="6" spans="1:1" x14ac:dyDescent="0.25">
      <c r="A6" s="25"/>
    </row>
    <row r="7" spans="1:1" x14ac:dyDescent="0.25">
      <c r="A7" s="26" t="s">
        <v>80</v>
      </c>
    </row>
    <row r="8" spans="1:1" x14ac:dyDescent="0.25">
      <c r="A8" s="25" t="s">
        <v>81</v>
      </c>
    </row>
    <row r="9" spans="1:1" x14ac:dyDescent="0.25">
      <c r="A9" s="25" t="s">
        <v>82</v>
      </c>
    </row>
    <row r="10" spans="1:1" ht="30" customHeight="1" x14ac:dyDescent="0.25">
      <c r="A10" s="25" t="s">
        <v>83</v>
      </c>
    </row>
    <row r="11" spans="1:1" x14ac:dyDescent="0.25">
      <c r="A11" s="25"/>
    </row>
    <row r="12" spans="1:1" x14ac:dyDescent="0.25">
      <c r="A12" s="26" t="s">
        <v>84</v>
      </c>
    </row>
    <row r="13" spans="1:1" x14ac:dyDescent="0.25">
      <c r="A13" s="25" t="s">
        <v>85</v>
      </c>
    </row>
    <row r="14" spans="1:1" x14ac:dyDescent="0.25">
      <c r="A14" s="25"/>
    </row>
    <row r="15" spans="1:1" x14ac:dyDescent="0.25">
      <c r="A15" s="26" t="s">
        <v>86</v>
      </c>
    </row>
    <row r="16" spans="1:1" x14ac:dyDescent="0.25">
      <c r="A16" s="25" t="s">
        <v>87</v>
      </c>
    </row>
    <row r="17" spans="1:1" x14ac:dyDescent="0.25">
      <c r="A17" s="25"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topLeftCell="A3" zoomScale="80" zoomScaleNormal="80" workbookViewId="0">
      <selection activeCell="H36" sqref="H36"/>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4.42578125" bestFit="1"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89</v>
      </c>
      <c r="B2" s="13" t="s">
        <v>90</v>
      </c>
      <c r="C2" s="13"/>
      <c r="D2" s="13"/>
      <c r="E2" s="13"/>
      <c r="F2" s="13"/>
      <c r="G2" s="13"/>
      <c r="H2" s="13"/>
    </row>
    <row r="3" spans="1:8" ht="75" x14ac:dyDescent="0.25">
      <c r="A3" s="14" t="s">
        <v>89</v>
      </c>
      <c r="B3" s="14" t="s">
        <v>90</v>
      </c>
      <c r="C3" s="15" t="s">
        <v>91</v>
      </c>
      <c r="D3" s="16" t="s">
        <v>92</v>
      </c>
      <c r="E3" s="17">
        <v>2</v>
      </c>
      <c r="F3" s="18" t="s">
        <v>93</v>
      </c>
      <c r="G3" s="16" t="s">
        <v>1004</v>
      </c>
      <c r="H3" s="16" t="s">
        <v>1005</v>
      </c>
    </row>
    <row r="4" spans="1:8" ht="60" x14ac:dyDescent="0.25">
      <c r="A4" s="19" t="s">
        <v>89</v>
      </c>
      <c r="B4" s="19" t="s">
        <v>90</v>
      </c>
      <c r="C4" s="20" t="s">
        <v>94</v>
      </c>
      <c r="D4" s="21" t="s">
        <v>95</v>
      </c>
      <c r="E4" s="17">
        <v>2</v>
      </c>
      <c r="F4" s="18" t="s">
        <v>93</v>
      </c>
      <c r="G4" s="21" t="s">
        <v>1006</v>
      </c>
      <c r="H4" s="21" t="s">
        <v>1007</v>
      </c>
    </row>
    <row r="5" spans="1:8" ht="18" customHeight="1" x14ac:dyDescent="0.25">
      <c r="A5" s="13" t="s">
        <v>96</v>
      </c>
      <c r="B5" s="13" t="s">
        <v>97</v>
      </c>
      <c r="C5" s="13"/>
      <c r="D5" s="13"/>
      <c r="E5" s="13"/>
      <c r="F5" s="13"/>
      <c r="G5" s="13"/>
      <c r="H5" s="13"/>
    </row>
    <row r="6" spans="1:8" ht="90" customHeight="1" x14ac:dyDescent="0.25">
      <c r="A6" s="14" t="s">
        <v>96</v>
      </c>
      <c r="B6" s="14" t="s">
        <v>97</v>
      </c>
      <c r="C6" s="15" t="s">
        <v>98</v>
      </c>
      <c r="D6" s="16" t="s">
        <v>99</v>
      </c>
      <c r="E6" s="22">
        <v>1</v>
      </c>
      <c r="F6" s="18" t="s">
        <v>93</v>
      </c>
      <c r="G6" s="16" t="s">
        <v>1008</v>
      </c>
      <c r="H6" s="16" t="s">
        <v>1009</v>
      </c>
    </row>
    <row r="7" spans="1:8" ht="60" customHeight="1" x14ac:dyDescent="0.25">
      <c r="A7" s="19" t="s">
        <v>96</v>
      </c>
      <c r="B7" s="19" t="s">
        <v>97</v>
      </c>
      <c r="C7" s="20" t="s">
        <v>102</v>
      </c>
      <c r="D7" s="21" t="s">
        <v>103</v>
      </c>
      <c r="E7" s="22">
        <v>1</v>
      </c>
      <c r="F7" s="18" t="s">
        <v>93</v>
      </c>
      <c r="G7" s="21" t="s">
        <v>1010</v>
      </c>
      <c r="H7" s="21" t="s">
        <v>1011</v>
      </c>
    </row>
    <row r="8" spans="1:8" ht="60" customHeight="1" x14ac:dyDescent="0.25">
      <c r="A8" s="14" t="s">
        <v>96</v>
      </c>
      <c r="B8" s="14" t="s">
        <v>97</v>
      </c>
      <c r="C8" s="15" t="s">
        <v>104</v>
      </c>
      <c r="D8" s="16" t="s">
        <v>105</v>
      </c>
      <c r="E8" s="22">
        <v>1</v>
      </c>
      <c r="F8" s="18" t="s">
        <v>93</v>
      </c>
      <c r="G8" s="16" t="s">
        <v>1012</v>
      </c>
      <c r="H8" s="16" t="s">
        <v>1013</v>
      </c>
    </row>
    <row r="9" spans="1:8" ht="75" customHeight="1" x14ac:dyDescent="0.25">
      <c r="A9" s="19" t="s">
        <v>96</v>
      </c>
      <c r="B9" s="19" t="s">
        <v>97</v>
      </c>
      <c r="C9" s="20" t="s">
        <v>106</v>
      </c>
      <c r="D9" s="21" t="s">
        <v>107</v>
      </c>
      <c r="E9" s="22">
        <v>1</v>
      </c>
      <c r="F9" s="18" t="s">
        <v>178</v>
      </c>
      <c r="G9" s="21" t="s">
        <v>1014</v>
      </c>
      <c r="H9" s="21" t="s">
        <v>1015</v>
      </c>
    </row>
    <row r="10" spans="1:8" ht="45" customHeight="1" x14ac:dyDescent="0.25">
      <c r="A10" s="14" t="s">
        <v>96</v>
      </c>
      <c r="B10" s="14" t="s">
        <v>97</v>
      </c>
      <c r="C10" s="15" t="s">
        <v>108</v>
      </c>
      <c r="D10" s="16" t="s">
        <v>109</v>
      </c>
      <c r="E10" s="22">
        <v>1</v>
      </c>
      <c r="F10" s="18" t="s">
        <v>93</v>
      </c>
      <c r="G10" s="16" t="s">
        <v>1016</v>
      </c>
      <c r="H10" s="16" t="s">
        <v>1017</v>
      </c>
    </row>
    <row r="11" spans="1:8" ht="45" customHeight="1" x14ac:dyDescent="0.25">
      <c r="A11" s="19" t="s">
        <v>96</v>
      </c>
      <c r="B11" s="19" t="s">
        <v>97</v>
      </c>
      <c r="C11" s="20" t="s">
        <v>110</v>
      </c>
      <c r="D11" s="21" t="s">
        <v>111</v>
      </c>
      <c r="E11" s="17">
        <v>2</v>
      </c>
      <c r="F11" s="18" t="s">
        <v>12</v>
      </c>
      <c r="G11" s="21" t="s">
        <v>100</v>
      </c>
      <c r="H11" s="21" t="s">
        <v>101</v>
      </c>
    </row>
    <row r="12" spans="1:8" ht="30" customHeight="1" x14ac:dyDescent="0.25">
      <c r="A12" s="14" t="s">
        <v>96</v>
      </c>
      <c r="B12" s="14" t="s">
        <v>97</v>
      </c>
      <c r="C12" s="15" t="s">
        <v>112</v>
      </c>
      <c r="D12" s="16" t="s">
        <v>113</v>
      </c>
      <c r="E12" s="17">
        <v>2</v>
      </c>
      <c r="F12" s="18" t="s">
        <v>12</v>
      </c>
      <c r="G12" s="16" t="s">
        <v>100</v>
      </c>
      <c r="H12" s="16" t="s">
        <v>101</v>
      </c>
    </row>
    <row r="13" spans="1:8" ht="45" customHeight="1" x14ac:dyDescent="0.25">
      <c r="A13" s="19" t="s">
        <v>96</v>
      </c>
      <c r="B13" s="19" t="s">
        <v>97</v>
      </c>
      <c r="C13" s="20" t="s">
        <v>114</v>
      </c>
      <c r="D13" s="21" t="s">
        <v>115</v>
      </c>
      <c r="E13" s="17">
        <v>2</v>
      </c>
      <c r="F13" s="18" t="s">
        <v>12</v>
      </c>
      <c r="G13" s="21" t="s">
        <v>100</v>
      </c>
      <c r="H13" s="21" t="s">
        <v>101</v>
      </c>
    </row>
    <row r="14" spans="1:8" ht="45" customHeight="1" x14ac:dyDescent="0.25">
      <c r="A14" s="14" t="s">
        <v>96</v>
      </c>
      <c r="B14" s="14" t="s">
        <v>97</v>
      </c>
      <c r="C14" s="15" t="s">
        <v>116</v>
      </c>
      <c r="D14" s="16" t="s">
        <v>117</v>
      </c>
      <c r="E14" s="17">
        <v>2</v>
      </c>
      <c r="F14" s="18" t="s">
        <v>93</v>
      </c>
      <c r="G14" s="16" t="s">
        <v>1019</v>
      </c>
      <c r="H14" s="16" t="s">
        <v>1018</v>
      </c>
    </row>
    <row r="15" spans="1:8" ht="120" customHeight="1" x14ac:dyDescent="0.25">
      <c r="A15" s="19" t="s">
        <v>96</v>
      </c>
      <c r="B15" s="19" t="s">
        <v>97</v>
      </c>
      <c r="C15" s="20" t="s">
        <v>118</v>
      </c>
      <c r="D15" s="21" t="s">
        <v>119</v>
      </c>
      <c r="E15" s="23">
        <v>3</v>
      </c>
      <c r="F15" s="18" t="s">
        <v>120</v>
      </c>
      <c r="G15" s="21" t="s">
        <v>1020</v>
      </c>
      <c r="H15" s="21" t="s">
        <v>121</v>
      </c>
    </row>
    <row r="16" spans="1:8" ht="18" customHeight="1" x14ac:dyDescent="0.25">
      <c r="A16" s="13" t="s">
        <v>122</v>
      </c>
      <c r="B16" s="13" t="s">
        <v>123</v>
      </c>
      <c r="C16" s="13"/>
      <c r="D16" s="13"/>
      <c r="E16" s="13"/>
      <c r="F16" s="13"/>
      <c r="G16" s="13"/>
      <c r="H16" s="13"/>
    </row>
    <row r="17" spans="1:8" ht="45" customHeight="1" x14ac:dyDescent="0.25">
      <c r="A17" s="14" t="s">
        <v>122</v>
      </c>
      <c r="B17" s="14" t="s">
        <v>123</v>
      </c>
      <c r="C17" s="15" t="s">
        <v>124</v>
      </c>
      <c r="D17" s="16" t="s">
        <v>125</v>
      </c>
      <c r="E17" s="22">
        <v>1</v>
      </c>
      <c r="F17" s="18" t="s">
        <v>12</v>
      </c>
      <c r="G17" s="16" t="s">
        <v>100</v>
      </c>
      <c r="H17" s="16" t="s">
        <v>101</v>
      </c>
    </row>
    <row r="18" spans="1:8" ht="78" customHeight="1" x14ac:dyDescent="0.25">
      <c r="A18" s="19" t="s">
        <v>122</v>
      </c>
      <c r="B18" s="19" t="s">
        <v>123</v>
      </c>
      <c r="C18" s="20" t="s">
        <v>126</v>
      </c>
      <c r="D18" s="21" t="s">
        <v>127</v>
      </c>
      <c r="E18" s="22">
        <v>1</v>
      </c>
      <c r="F18" s="18" t="s">
        <v>12</v>
      </c>
      <c r="G18" s="21" t="s">
        <v>1021</v>
      </c>
      <c r="H18" s="21" t="s">
        <v>1022</v>
      </c>
    </row>
    <row r="19" spans="1:8" ht="60" customHeight="1" x14ac:dyDescent="0.25">
      <c r="A19" s="14" t="s">
        <v>122</v>
      </c>
      <c r="B19" s="14" t="s">
        <v>123</v>
      </c>
      <c r="C19" s="15" t="s">
        <v>128</v>
      </c>
      <c r="D19" s="16" t="s">
        <v>129</v>
      </c>
      <c r="E19" s="17">
        <v>2</v>
      </c>
      <c r="F19" s="18" t="s">
        <v>93</v>
      </c>
      <c r="G19" s="16" t="s">
        <v>1023</v>
      </c>
      <c r="H19" s="16" t="s">
        <v>1024</v>
      </c>
    </row>
    <row r="20" spans="1:8" ht="78" customHeight="1" x14ac:dyDescent="0.25">
      <c r="A20" s="19" t="s">
        <v>122</v>
      </c>
      <c r="B20" s="19" t="s">
        <v>123</v>
      </c>
      <c r="C20" s="20" t="s">
        <v>130</v>
      </c>
      <c r="D20" s="21" t="s">
        <v>131</v>
      </c>
      <c r="E20" s="17">
        <v>2</v>
      </c>
      <c r="F20" s="18" t="s">
        <v>12</v>
      </c>
      <c r="G20" s="21" t="s">
        <v>100</v>
      </c>
      <c r="H20" s="21" t="s">
        <v>101</v>
      </c>
    </row>
    <row r="21" spans="1:8" ht="30" customHeight="1" x14ac:dyDescent="0.25">
      <c r="A21" s="14" t="s">
        <v>122</v>
      </c>
      <c r="B21" s="14" t="s">
        <v>123</v>
      </c>
      <c r="C21" s="15" t="s">
        <v>132</v>
      </c>
      <c r="D21" s="16" t="s">
        <v>133</v>
      </c>
      <c r="E21" s="17">
        <v>2</v>
      </c>
      <c r="F21" s="18" t="s">
        <v>12</v>
      </c>
      <c r="G21" s="16" t="s">
        <v>100</v>
      </c>
      <c r="H21" s="16" t="s">
        <v>101</v>
      </c>
    </row>
    <row r="22" spans="1:8" ht="75" customHeight="1" x14ac:dyDescent="0.25">
      <c r="A22" s="19" t="s">
        <v>122</v>
      </c>
      <c r="B22" s="19" t="s">
        <v>123</v>
      </c>
      <c r="C22" s="20" t="s">
        <v>134</v>
      </c>
      <c r="D22" s="21" t="s">
        <v>135</v>
      </c>
      <c r="E22" s="17">
        <v>2</v>
      </c>
      <c r="F22" s="18" t="s">
        <v>12</v>
      </c>
      <c r="G22" s="21" t="s">
        <v>1025</v>
      </c>
      <c r="H22" s="21" t="s">
        <v>1026</v>
      </c>
    </row>
    <row r="23" spans="1:8" ht="75" customHeight="1" x14ac:dyDescent="0.25">
      <c r="A23" s="14" t="s">
        <v>122</v>
      </c>
      <c r="B23" s="14" t="s">
        <v>123</v>
      </c>
      <c r="C23" s="15" t="s">
        <v>136</v>
      </c>
      <c r="D23" s="16" t="s">
        <v>137</v>
      </c>
      <c r="E23" s="17">
        <v>2</v>
      </c>
      <c r="F23" s="18" t="s">
        <v>12</v>
      </c>
      <c r="G23" s="16" t="s">
        <v>1027</v>
      </c>
      <c r="H23" s="16" t="s">
        <v>1028</v>
      </c>
    </row>
    <row r="24" spans="1:8" ht="60" customHeight="1" x14ac:dyDescent="0.25">
      <c r="A24" s="19" t="s">
        <v>122</v>
      </c>
      <c r="B24" s="19" t="s">
        <v>123</v>
      </c>
      <c r="C24" s="20" t="s">
        <v>138</v>
      </c>
      <c r="D24" s="21" t="s">
        <v>139</v>
      </c>
      <c r="E24" s="17">
        <v>2</v>
      </c>
      <c r="F24" s="18" t="s">
        <v>12</v>
      </c>
      <c r="G24" s="21" t="s">
        <v>100</v>
      </c>
      <c r="H24" s="21" t="s">
        <v>101</v>
      </c>
    </row>
    <row r="25" spans="1:8" ht="30" customHeight="1" x14ac:dyDescent="0.25">
      <c r="A25" s="14" t="s">
        <v>122</v>
      </c>
      <c r="B25" s="14" t="s">
        <v>123</v>
      </c>
      <c r="C25" s="15" t="s">
        <v>140</v>
      </c>
      <c r="D25" s="16" t="s">
        <v>141</v>
      </c>
      <c r="E25" s="17">
        <v>2</v>
      </c>
      <c r="F25" s="18" t="s">
        <v>12</v>
      </c>
      <c r="G25" s="16" t="s">
        <v>100</v>
      </c>
      <c r="H25" s="16" t="s">
        <v>101</v>
      </c>
    </row>
    <row r="26" spans="1:8" ht="45" x14ac:dyDescent="0.25">
      <c r="A26" s="19" t="s">
        <v>122</v>
      </c>
      <c r="B26" s="19" t="s">
        <v>123</v>
      </c>
      <c r="C26" s="20" t="s">
        <v>142</v>
      </c>
      <c r="D26" s="21" t="s">
        <v>143</v>
      </c>
      <c r="E26" s="17">
        <v>2</v>
      </c>
      <c r="F26" s="18" t="s">
        <v>178</v>
      </c>
      <c r="G26" s="21" t="s">
        <v>1029</v>
      </c>
      <c r="H26" s="21" t="s">
        <v>1030</v>
      </c>
    </row>
    <row r="27" spans="1:8" ht="30" customHeight="1" x14ac:dyDescent="0.25">
      <c r="A27" s="14" t="s">
        <v>122</v>
      </c>
      <c r="B27" s="14" t="s">
        <v>123</v>
      </c>
      <c r="C27" s="15" t="s">
        <v>144</v>
      </c>
      <c r="D27" s="16" t="s">
        <v>145</v>
      </c>
      <c r="E27" s="17">
        <v>2</v>
      </c>
      <c r="F27" s="18" t="s">
        <v>12</v>
      </c>
      <c r="G27" s="16" t="s">
        <v>100</v>
      </c>
      <c r="H27" s="16" t="s">
        <v>101</v>
      </c>
    </row>
    <row r="28" spans="1:8" ht="60" customHeight="1" x14ac:dyDescent="0.25">
      <c r="A28" s="19" t="s">
        <v>122</v>
      </c>
      <c r="B28" s="19" t="s">
        <v>123</v>
      </c>
      <c r="C28" s="20" t="s">
        <v>146</v>
      </c>
      <c r="D28" s="21" t="s">
        <v>147</v>
      </c>
      <c r="E28" s="23">
        <v>3</v>
      </c>
      <c r="F28" s="18" t="s">
        <v>178</v>
      </c>
      <c r="G28" s="21" t="s">
        <v>1031</v>
      </c>
      <c r="H28" s="21" t="s">
        <v>1018</v>
      </c>
    </row>
    <row r="29" spans="1:8" ht="18" customHeight="1" x14ac:dyDescent="0.25">
      <c r="A29" s="13" t="s">
        <v>148</v>
      </c>
      <c r="B29" s="13" t="s">
        <v>149</v>
      </c>
      <c r="C29" s="13"/>
      <c r="D29" s="13"/>
      <c r="E29" s="13"/>
      <c r="F29" s="13"/>
      <c r="G29" s="13"/>
      <c r="H29" s="13"/>
    </row>
    <row r="30" spans="1:8" ht="30" customHeight="1" x14ac:dyDescent="0.25">
      <c r="A30" s="14" t="s">
        <v>148</v>
      </c>
      <c r="B30" s="14" t="s">
        <v>149</v>
      </c>
      <c r="C30" s="15" t="s">
        <v>150</v>
      </c>
      <c r="D30" s="16" t="s">
        <v>151</v>
      </c>
      <c r="E30" s="17">
        <v>2</v>
      </c>
      <c r="F30" s="18" t="s">
        <v>12</v>
      </c>
      <c r="G30" s="16" t="s">
        <v>100</v>
      </c>
      <c r="H30" s="16" t="s">
        <v>101</v>
      </c>
    </row>
    <row r="31" spans="1:8" ht="30" customHeight="1" x14ac:dyDescent="0.25">
      <c r="A31" s="19" t="s">
        <v>148</v>
      </c>
      <c r="B31" s="19" t="s">
        <v>149</v>
      </c>
      <c r="C31" s="20" t="s">
        <v>152</v>
      </c>
      <c r="D31" s="21" t="s">
        <v>153</v>
      </c>
      <c r="E31" s="17">
        <v>2</v>
      </c>
      <c r="F31" s="18" t="s">
        <v>12</v>
      </c>
      <c r="G31" s="21" t="s">
        <v>100</v>
      </c>
      <c r="H31" s="21" t="s">
        <v>101</v>
      </c>
    </row>
    <row r="32" spans="1:8" ht="30" customHeight="1" x14ac:dyDescent="0.25">
      <c r="A32" s="14" t="s">
        <v>148</v>
      </c>
      <c r="B32" s="14" t="s">
        <v>149</v>
      </c>
      <c r="C32" s="15" t="s">
        <v>154</v>
      </c>
      <c r="D32" s="16" t="s">
        <v>155</v>
      </c>
      <c r="E32" s="17">
        <v>2</v>
      </c>
      <c r="F32" s="18" t="s">
        <v>12</v>
      </c>
      <c r="G32" s="16" t="s">
        <v>100</v>
      </c>
      <c r="H32" s="16" t="s">
        <v>101</v>
      </c>
    </row>
    <row r="33" spans="1:8" ht="18" customHeight="1" x14ac:dyDescent="0.25">
      <c r="A33" s="13" t="s">
        <v>156</v>
      </c>
      <c r="B33" s="13" t="s">
        <v>157</v>
      </c>
      <c r="C33" s="13"/>
      <c r="D33" s="13"/>
      <c r="E33" s="13"/>
      <c r="F33" s="13"/>
      <c r="G33" s="13"/>
      <c r="H33" s="13"/>
    </row>
    <row r="34" spans="1:8" ht="60" customHeight="1" x14ac:dyDescent="0.25">
      <c r="A34" s="14" t="s">
        <v>156</v>
      </c>
      <c r="B34" s="14" t="s">
        <v>157</v>
      </c>
      <c r="C34" s="15" t="s">
        <v>158</v>
      </c>
      <c r="D34" s="16" t="s">
        <v>159</v>
      </c>
      <c r="E34" s="22">
        <v>1</v>
      </c>
      <c r="F34" s="18" t="s">
        <v>12</v>
      </c>
      <c r="G34" s="16" t="s">
        <v>1032</v>
      </c>
      <c r="H34" s="16" t="s">
        <v>1033</v>
      </c>
    </row>
    <row r="35" spans="1:8" ht="75" customHeight="1" x14ac:dyDescent="0.25">
      <c r="A35" s="19" t="s">
        <v>156</v>
      </c>
      <c r="B35" s="19" t="s">
        <v>157</v>
      </c>
      <c r="C35" s="20" t="s">
        <v>160</v>
      </c>
      <c r="D35" s="21" t="s">
        <v>161</v>
      </c>
      <c r="E35" s="17">
        <v>2</v>
      </c>
      <c r="F35" s="18" t="s">
        <v>93</v>
      </c>
      <c r="G35" s="21" t="s">
        <v>1034</v>
      </c>
      <c r="H35" s="21" t="s">
        <v>1035</v>
      </c>
    </row>
    <row r="36" spans="1:8" ht="105" customHeight="1" x14ac:dyDescent="0.25">
      <c r="A36" s="14" t="s">
        <v>156</v>
      </c>
      <c r="B36" s="14" t="s">
        <v>157</v>
      </c>
      <c r="C36" s="15" t="s">
        <v>162</v>
      </c>
      <c r="D36" s="16" t="s">
        <v>163</v>
      </c>
      <c r="E36" s="23">
        <v>3</v>
      </c>
      <c r="F36" s="18" t="s">
        <v>93</v>
      </c>
      <c r="G36" s="16" t="s">
        <v>1036</v>
      </c>
      <c r="H36" s="16" t="s">
        <v>1037</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200-000000000000}">
      <formula1>"Not Started,In Progress,Compliant,Not Applicable"</formula1>
      <formula2>0</formula2>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zoomScale="80" zoomScaleNormal="80" workbookViewId="0">
      <selection activeCell="G24" sqref="G24"/>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164</v>
      </c>
      <c r="B2" s="13" t="s">
        <v>165</v>
      </c>
      <c r="C2" s="13"/>
      <c r="D2" s="13"/>
      <c r="E2" s="13"/>
      <c r="F2" s="13"/>
      <c r="G2" s="13"/>
      <c r="H2" s="13"/>
    </row>
    <row r="3" spans="1:8" ht="75" customHeight="1" x14ac:dyDescent="0.25">
      <c r="A3" s="14" t="s">
        <v>164</v>
      </c>
      <c r="B3" s="14" t="s">
        <v>165</v>
      </c>
      <c r="C3" s="15" t="s">
        <v>166</v>
      </c>
      <c r="D3" s="16" t="s">
        <v>167</v>
      </c>
      <c r="E3" s="22">
        <v>1</v>
      </c>
      <c r="F3" s="18" t="s">
        <v>93</v>
      </c>
      <c r="G3" s="16" t="s">
        <v>1038</v>
      </c>
      <c r="H3" s="16" t="s">
        <v>1039</v>
      </c>
    </row>
    <row r="4" spans="1:8" ht="90.75" customHeight="1" x14ac:dyDescent="0.25">
      <c r="A4" s="19" t="s">
        <v>164</v>
      </c>
      <c r="B4" s="19" t="s">
        <v>165</v>
      </c>
      <c r="C4" s="20" t="s">
        <v>168</v>
      </c>
      <c r="D4" s="21" t="s">
        <v>169</v>
      </c>
      <c r="E4" s="17">
        <v>2</v>
      </c>
      <c r="F4" s="18" t="s">
        <v>93</v>
      </c>
      <c r="G4" s="21" t="s">
        <v>1040</v>
      </c>
      <c r="H4" s="21" t="s">
        <v>1041</v>
      </c>
    </row>
    <row r="5" spans="1:8" ht="60" customHeight="1" x14ac:dyDescent="0.25">
      <c r="A5" s="14" t="s">
        <v>164</v>
      </c>
      <c r="B5" s="14" t="s">
        <v>165</v>
      </c>
      <c r="C5" s="15" t="s">
        <v>170</v>
      </c>
      <c r="D5" s="16" t="s">
        <v>171</v>
      </c>
      <c r="E5" s="17">
        <v>2</v>
      </c>
      <c r="F5" s="18" t="s">
        <v>93</v>
      </c>
      <c r="G5" s="16" t="s">
        <v>1042</v>
      </c>
      <c r="H5" s="16" t="s">
        <v>1043</v>
      </c>
    </row>
    <row r="6" spans="1:8" ht="18" customHeight="1" x14ac:dyDescent="0.25">
      <c r="A6" s="13" t="s">
        <v>172</v>
      </c>
      <c r="B6" s="13" t="s">
        <v>173</v>
      </c>
      <c r="C6" s="13"/>
      <c r="D6" s="13"/>
      <c r="E6" s="13"/>
      <c r="F6" s="13"/>
      <c r="G6" s="13"/>
      <c r="H6" s="13"/>
    </row>
    <row r="7" spans="1:8" ht="105" customHeight="1" x14ac:dyDescent="0.25">
      <c r="A7" s="14" t="s">
        <v>172</v>
      </c>
      <c r="B7" s="14" t="s">
        <v>173</v>
      </c>
      <c r="C7" s="15" t="s">
        <v>174</v>
      </c>
      <c r="D7" s="16" t="s">
        <v>175</v>
      </c>
      <c r="E7" s="22">
        <v>1</v>
      </c>
      <c r="F7" s="18" t="s">
        <v>93</v>
      </c>
      <c r="G7" s="16" t="s">
        <v>1044</v>
      </c>
      <c r="H7" s="16" t="s">
        <v>1045</v>
      </c>
    </row>
    <row r="8" spans="1:8" ht="60" customHeight="1" x14ac:dyDescent="0.25">
      <c r="A8" s="19" t="s">
        <v>172</v>
      </c>
      <c r="B8" s="19" t="s">
        <v>173</v>
      </c>
      <c r="C8" s="20" t="s">
        <v>176</v>
      </c>
      <c r="D8" s="21" t="s">
        <v>177</v>
      </c>
      <c r="E8" s="22">
        <v>1</v>
      </c>
      <c r="F8" s="18" t="s">
        <v>178</v>
      </c>
      <c r="G8" s="21" t="s">
        <v>1046</v>
      </c>
      <c r="H8" s="21" t="s">
        <v>1047</v>
      </c>
    </row>
    <row r="9" spans="1:8" ht="90" x14ac:dyDescent="0.25">
      <c r="A9" s="14" t="s">
        <v>172</v>
      </c>
      <c r="B9" s="14" t="s">
        <v>173</v>
      </c>
      <c r="C9" s="15" t="s">
        <v>179</v>
      </c>
      <c r="D9" s="16" t="s">
        <v>180</v>
      </c>
      <c r="E9" s="17">
        <v>2</v>
      </c>
      <c r="F9" s="18" t="s">
        <v>93</v>
      </c>
      <c r="G9" s="16" t="s">
        <v>1048</v>
      </c>
      <c r="H9" s="16" t="s">
        <v>1049</v>
      </c>
    </row>
    <row r="10" spans="1:8" ht="18" customHeight="1" x14ac:dyDescent="0.25">
      <c r="A10" s="13" t="s">
        <v>181</v>
      </c>
      <c r="B10" s="13" t="s">
        <v>182</v>
      </c>
      <c r="C10" s="13"/>
      <c r="D10" s="13"/>
      <c r="E10" s="13"/>
      <c r="F10" s="13"/>
      <c r="G10" s="13"/>
      <c r="H10" s="13"/>
    </row>
    <row r="11" spans="1:8" ht="105" x14ac:dyDescent="0.25">
      <c r="A11" s="14" t="s">
        <v>181</v>
      </c>
      <c r="B11" s="14" t="s">
        <v>182</v>
      </c>
      <c r="C11" s="15" t="s">
        <v>183</v>
      </c>
      <c r="D11" s="16" t="s">
        <v>184</v>
      </c>
      <c r="E11" s="22">
        <v>1</v>
      </c>
      <c r="F11" s="18" t="s">
        <v>93</v>
      </c>
      <c r="G11" s="16" t="s">
        <v>1050</v>
      </c>
      <c r="H11" s="16" t="s">
        <v>1051</v>
      </c>
    </row>
    <row r="12" spans="1:8" ht="105" x14ac:dyDescent="0.25">
      <c r="A12" s="19" t="s">
        <v>181</v>
      </c>
      <c r="B12" s="19" t="s">
        <v>182</v>
      </c>
      <c r="C12" s="20" t="s">
        <v>186</v>
      </c>
      <c r="D12" s="21" t="s">
        <v>187</v>
      </c>
      <c r="E12" s="17">
        <v>2</v>
      </c>
      <c r="F12" s="18" t="s">
        <v>93</v>
      </c>
      <c r="G12" s="21" t="s">
        <v>1052</v>
      </c>
      <c r="H12" s="21" t="s">
        <v>1053</v>
      </c>
    </row>
    <row r="13" spans="1:8" ht="75" x14ac:dyDescent="0.25">
      <c r="A13" s="14" t="s">
        <v>181</v>
      </c>
      <c r="B13" s="14" t="s">
        <v>182</v>
      </c>
      <c r="C13" s="15" t="s">
        <v>188</v>
      </c>
      <c r="D13" s="16" t="s">
        <v>189</v>
      </c>
      <c r="E13" s="17">
        <v>2</v>
      </c>
      <c r="F13" s="18" t="s">
        <v>93</v>
      </c>
      <c r="G13" s="16" t="s">
        <v>1054</v>
      </c>
      <c r="H13" s="16" t="s">
        <v>1055</v>
      </c>
    </row>
    <row r="14" spans="1:8" ht="60" customHeight="1" x14ac:dyDescent="0.25">
      <c r="A14" s="19" t="s">
        <v>181</v>
      </c>
      <c r="B14" s="19" t="s">
        <v>182</v>
      </c>
      <c r="C14" s="20" t="s">
        <v>190</v>
      </c>
      <c r="D14" s="21" t="s">
        <v>191</v>
      </c>
      <c r="E14" s="17">
        <v>2</v>
      </c>
      <c r="F14" s="18" t="s">
        <v>93</v>
      </c>
      <c r="G14" s="21" t="s">
        <v>100</v>
      </c>
      <c r="H14" s="21" t="s">
        <v>101</v>
      </c>
    </row>
    <row r="15" spans="1:8" ht="90" x14ac:dyDescent="0.25">
      <c r="A15" s="14" t="s">
        <v>181</v>
      </c>
      <c r="B15" s="14" t="s">
        <v>182</v>
      </c>
      <c r="C15" s="15" t="s">
        <v>192</v>
      </c>
      <c r="D15" s="16" t="s">
        <v>193</v>
      </c>
      <c r="E15" s="23">
        <v>3</v>
      </c>
      <c r="F15" s="18" t="s">
        <v>120</v>
      </c>
      <c r="G15" s="16" t="s">
        <v>1056</v>
      </c>
      <c r="H15" s="16" t="s">
        <v>1057</v>
      </c>
    </row>
    <row r="16" spans="1:8" ht="18" customHeight="1" x14ac:dyDescent="0.25">
      <c r="A16" s="13" t="s">
        <v>194</v>
      </c>
      <c r="B16" s="13" t="s">
        <v>195</v>
      </c>
      <c r="C16" s="13"/>
      <c r="D16" s="13"/>
      <c r="E16" s="13"/>
      <c r="F16" s="13"/>
      <c r="G16" s="13"/>
      <c r="H16" s="13"/>
    </row>
    <row r="17" spans="1:8" ht="60" customHeight="1" x14ac:dyDescent="0.25">
      <c r="A17" s="14" t="s">
        <v>194</v>
      </c>
      <c r="B17" s="14" t="s">
        <v>195</v>
      </c>
      <c r="C17" s="15" t="s">
        <v>196</v>
      </c>
      <c r="D17" s="16" t="s">
        <v>197</v>
      </c>
      <c r="E17" s="17">
        <v>2</v>
      </c>
      <c r="F17" s="18" t="s">
        <v>93</v>
      </c>
      <c r="G17" s="16" t="s">
        <v>1058</v>
      </c>
      <c r="H17" s="16" t="s">
        <v>1059</v>
      </c>
    </row>
    <row r="18" spans="1:8" ht="45" customHeight="1" x14ac:dyDescent="0.25">
      <c r="A18" s="19" t="s">
        <v>194</v>
      </c>
      <c r="B18" s="19" t="s">
        <v>195</v>
      </c>
      <c r="C18" s="20" t="s">
        <v>198</v>
      </c>
      <c r="D18" s="21" t="s">
        <v>199</v>
      </c>
      <c r="E18" s="23">
        <v>3</v>
      </c>
      <c r="F18" s="18" t="s">
        <v>93</v>
      </c>
      <c r="G18" s="21" t="s">
        <v>1061</v>
      </c>
      <c r="H18" s="21" t="s">
        <v>1060</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300-000000000000}">
      <formula1>"Not Started,In Progress,Compliant,Not Applicable"</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T39"/>
  <sheetViews>
    <sheetView topLeftCell="A24" zoomScale="80" zoomScaleNormal="80" workbookViewId="0">
      <selection activeCell="H39" sqref="H39"/>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200</v>
      </c>
      <c r="B2" s="13" t="s">
        <v>201</v>
      </c>
      <c r="C2" s="13"/>
      <c r="D2" s="13"/>
      <c r="E2" s="13"/>
      <c r="F2" s="13"/>
      <c r="G2" s="13"/>
      <c r="H2" s="13"/>
    </row>
    <row r="3" spans="1:8" ht="105" customHeight="1" x14ac:dyDescent="0.25">
      <c r="A3" s="14" t="s">
        <v>200</v>
      </c>
      <c r="B3" s="14" t="s">
        <v>201</v>
      </c>
      <c r="C3" s="15" t="s">
        <v>202</v>
      </c>
      <c r="D3" s="16" t="s">
        <v>203</v>
      </c>
      <c r="E3" s="23">
        <v>3</v>
      </c>
      <c r="F3" s="18" t="s">
        <v>93</v>
      </c>
      <c r="G3" s="16" t="s">
        <v>1062</v>
      </c>
      <c r="H3" s="16" t="s">
        <v>1063</v>
      </c>
    </row>
    <row r="4" spans="1:8" ht="18" customHeight="1" x14ac:dyDescent="0.25">
      <c r="A4" s="13" t="s">
        <v>204</v>
      </c>
      <c r="B4" s="13" t="s">
        <v>205</v>
      </c>
      <c r="C4" s="13"/>
      <c r="D4" s="13"/>
      <c r="E4" s="13"/>
      <c r="F4" s="13"/>
      <c r="G4" s="13"/>
      <c r="H4" s="13"/>
    </row>
    <row r="5" spans="1:8" ht="135" customHeight="1" x14ac:dyDescent="0.25">
      <c r="A5" s="14" t="s">
        <v>204</v>
      </c>
      <c r="B5" s="14" t="s">
        <v>205</v>
      </c>
      <c r="C5" s="15" t="s">
        <v>206</v>
      </c>
      <c r="D5" s="16" t="s">
        <v>207</v>
      </c>
      <c r="E5" s="22">
        <v>1</v>
      </c>
      <c r="F5" s="18" t="s">
        <v>93</v>
      </c>
      <c r="G5" s="16" t="s">
        <v>1064</v>
      </c>
      <c r="H5" s="16" t="s">
        <v>1065</v>
      </c>
    </row>
    <row r="6" spans="1:8" ht="30" customHeight="1" x14ac:dyDescent="0.25">
      <c r="A6" s="19" t="s">
        <v>204</v>
      </c>
      <c r="B6" s="19" t="s">
        <v>205</v>
      </c>
      <c r="C6" s="20" t="s">
        <v>209</v>
      </c>
      <c r="D6" s="21" t="s">
        <v>210</v>
      </c>
      <c r="E6" s="22">
        <v>1</v>
      </c>
      <c r="F6" s="18" t="s">
        <v>93</v>
      </c>
      <c r="G6" s="21" t="s">
        <v>1066</v>
      </c>
      <c r="H6" s="21" t="s">
        <v>1067</v>
      </c>
    </row>
    <row r="7" spans="1:8" ht="30" customHeight="1" x14ac:dyDescent="0.25">
      <c r="A7" s="14" t="s">
        <v>204</v>
      </c>
      <c r="B7" s="14" t="s">
        <v>205</v>
      </c>
      <c r="C7" s="15" t="s">
        <v>212</v>
      </c>
      <c r="D7" s="16" t="s">
        <v>213</v>
      </c>
      <c r="E7" s="23">
        <v>3</v>
      </c>
      <c r="F7" s="18" t="s">
        <v>120</v>
      </c>
      <c r="G7" s="16" t="s">
        <v>1068</v>
      </c>
      <c r="H7" s="16" t="s">
        <v>211</v>
      </c>
    </row>
    <row r="8" spans="1:8" ht="18" customHeight="1" x14ac:dyDescent="0.25">
      <c r="A8" s="13" t="s">
        <v>214</v>
      </c>
      <c r="B8" s="13" t="s">
        <v>215</v>
      </c>
      <c r="C8" s="13"/>
      <c r="D8" s="13"/>
      <c r="E8" s="13"/>
      <c r="F8" s="13"/>
      <c r="G8" s="13"/>
      <c r="H8" s="13"/>
    </row>
    <row r="9" spans="1:8" ht="45" customHeight="1" x14ac:dyDescent="0.25">
      <c r="A9" s="14" t="s">
        <v>214</v>
      </c>
      <c r="B9" s="14" t="s">
        <v>215</v>
      </c>
      <c r="C9" s="15" t="s">
        <v>216</v>
      </c>
      <c r="D9" s="16" t="s">
        <v>217</v>
      </c>
      <c r="E9" s="22">
        <v>1</v>
      </c>
      <c r="F9" s="18" t="s">
        <v>12</v>
      </c>
      <c r="G9" s="16" t="s">
        <v>1069</v>
      </c>
      <c r="H9" s="16" t="s">
        <v>1070</v>
      </c>
    </row>
    <row r="10" spans="1:8" ht="60" customHeight="1" x14ac:dyDescent="0.25">
      <c r="A10" s="19" t="s">
        <v>214</v>
      </c>
      <c r="B10" s="19" t="s">
        <v>215</v>
      </c>
      <c r="C10" s="20" t="s">
        <v>219</v>
      </c>
      <c r="D10" s="21" t="s">
        <v>220</v>
      </c>
      <c r="E10" s="17">
        <v>2</v>
      </c>
      <c r="F10" s="18" t="s">
        <v>12</v>
      </c>
      <c r="G10" s="21" t="s">
        <v>1071</v>
      </c>
      <c r="H10" s="21" t="s">
        <v>1072</v>
      </c>
    </row>
    <row r="11" spans="1:8" ht="45" customHeight="1" x14ac:dyDescent="0.25">
      <c r="A11" s="14" t="s">
        <v>214</v>
      </c>
      <c r="B11" s="14" t="s">
        <v>215</v>
      </c>
      <c r="C11" s="15" t="s">
        <v>221</v>
      </c>
      <c r="D11" s="16" t="s">
        <v>222</v>
      </c>
      <c r="E11" s="17">
        <v>2</v>
      </c>
      <c r="F11" s="18" t="s">
        <v>12</v>
      </c>
      <c r="G11" s="16" t="s">
        <v>1073</v>
      </c>
      <c r="H11" s="16" t="s">
        <v>1074</v>
      </c>
    </row>
    <row r="12" spans="1:8" ht="75" customHeight="1" x14ac:dyDescent="0.25">
      <c r="A12" s="19" t="s">
        <v>214</v>
      </c>
      <c r="B12" s="19" t="s">
        <v>215</v>
      </c>
      <c r="C12" s="20" t="s">
        <v>223</v>
      </c>
      <c r="D12" s="21" t="s">
        <v>224</v>
      </c>
      <c r="E12" s="17">
        <v>2</v>
      </c>
      <c r="F12" s="18" t="s">
        <v>12</v>
      </c>
      <c r="G12" s="21" t="s">
        <v>1075</v>
      </c>
      <c r="H12" s="21" t="s">
        <v>1076</v>
      </c>
    </row>
    <row r="13" spans="1:8" ht="75" customHeight="1" x14ac:dyDescent="0.25">
      <c r="A13" s="14" t="s">
        <v>214</v>
      </c>
      <c r="B13" s="14" t="s">
        <v>215</v>
      </c>
      <c r="C13" s="15" t="s">
        <v>225</v>
      </c>
      <c r="D13" s="16" t="s">
        <v>226</v>
      </c>
      <c r="E13" s="23">
        <v>3</v>
      </c>
      <c r="F13" s="18" t="s">
        <v>12</v>
      </c>
      <c r="G13" s="16" t="s">
        <v>1077</v>
      </c>
      <c r="H13" s="16" t="s">
        <v>1078</v>
      </c>
    </row>
    <row r="14" spans="1:8" ht="18" customHeight="1" x14ac:dyDescent="0.25">
      <c r="A14" s="13" t="s">
        <v>227</v>
      </c>
      <c r="B14" s="13" t="s">
        <v>228</v>
      </c>
      <c r="C14" s="13"/>
      <c r="D14" s="13"/>
      <c r="E14" s="13"/>
      <c r="F14" s="13"/>
      <c r="G14" s="13"/>
      <c r="H14" s="13"/>
    </row>
    <row r="15" spans="1:8" ht="60" customHeight="1" x14ac:dyDescent="0.25">
      <c r="A15" s="14" t="s">
        <v>227</v>
      </c>
      <c r="B15" s="14" t="s">
        <v>228</v>
      </c>
      <c r="C15" s="15" t="s">
        <v>229</v>
      </c>
      <c r="D15" s="16" t="s">
        <v>230</v>
      </c>
      <c r="E15" s="22">
        <v>1</v>
      </c>
      <c r="F15" s="18" t="s">
        <v>93</v>
      </c>
      <c r="G15" s="16" t="s">
        <v>1079</v>
      </c>
      <c r="H15" s="16" t="s">
        <v>1080</v>
      </c>
    </row>
    <row r="16" spans="1:8" ht="90" customHeight="1" x14ac:dyDescent="0.25">
      <c r="A16" s="19" t="s">
        <v>227</v>
      </c>
      <c r="B16" s="19" t="s">
        <v>228</v>
      </c>
      <c r="C16" s="20" t="s">
        <v>232</v>
      </c>
      <c r="D16" s="21" t="s">
        <v>233</v>
      </c>
      <c r="E16" s="22">
        <v>1</v>
      </c>
      <c r="F16" s="18" t="s">
        <v>93</v>
      </c>
      <c r="G16" s="21" t="s">
        <v>1081</v>
      </c>
      <c r="H16" s="21" t="s">
        <v>208</v>
      </c>
    </row>
    <row r="17" spans="1:20" ht="120" customHeight="1" x14ac:dyDescent="0.25">
      <c r="A17" s="14" t="s">
        <v>227</v>
      </c>
      <c r="B17" s="14" t="s">
        <v>228</v>
      </c>
      <c r="C17" s="15" t="s">
        <v>234</v>
      </c>
      <c r="D17" s="16" t="s">
        <v>235</v>
      </c>
      <c r="E17" s="17">
        <v>2</v>
      </c>
      <c r="F17" s="18" t="s">
        <v>93</v>
      </c>
      <c r="G17" s="16" t="s">
        <v>1083</v>
      </c>
      <c r="H17" s="16" t="s">
        <v>1082</v>
      </c>
    </row>
    <row r="18" spans="1:20" ht="120" customHeight="1" x14ac:dyDescent="0.25">
      <c r="A18" s="19" t="s">
        <v>227</v>
      </c>
      <c r="B18" s="19" t="s">
        <v>228</v>
      </c>
      <c r="C18" s="20" t="s">
        <v>236</v>
      </c>
      <c r="D18" s="21" t="s">
        <v>237</v>
      </c>
      <c r="E18" s="17">
        <v>2</v>
      </c>
      <c r="F18" s="18" t="s">
        <v>178</v>
      </c>
      <c r="G18" s="16" t="s">
        <v>1084</v>
      </c>
      <c r="H18" s="21" t="s">
        <v>1085</v>
      </c>
    </row>
    <row r="19" spans="1:20" ht="105" customHeight="1" x14ac:dyDescent="0.25">
      <c r="A19" s="14" t="s">
        <v>227</v>
      </c>
      <c r="B19" s="14" t="s">
        <v>228</v>
      </c>
      <c r="C19" s="15" t="s">
        <v>238</v>
      </c>
      <c r="D19" s="16" t="s">
        <v>239</v>
      </c>
      <c r="E19" s="17">
        <v>2</v>
      </c>
      <c r="F19" s="18" t="s">
        <v>178</v>
      </c>
      <c r="G19" s="16" t="s">
        <v>1086</v>
      </c>
      <c r="H19" s="16" t="s">
        <v>1085</v>
      </c>
    </row>
    <row r="20" spans="1:20" ht="90" customHeight="1" x14ac:dyDescent="0.25">
      <c r="A20" s="19" t="s">
        <v>227</v>
      </c>
      <c r="B20" s="19" t="s">
        <v>228</v>
      </c>
      <c r="C20" s="20" t="s">
        <v>240</v>
      </c>
      <c r="D20" s="21" t="s">
        <v>241</v>
      </c>
      <c r="E20" s="17">
        <v>2</v>
      </c>
      <c r="F20" s="18" t="s">
        <v>178</v>
      </c>
      <c r="G20" s="16" t="s">
        <v>1087</v>
      </c>
      <c r="H20" s="21" t="s">
        <v>1085</v>
      </c>
    </row>
    <row r="21" spans="1:20" ht="45" customHeight="1" x14ac:dyDescent="0.25">
      <c r="A21" s="14" t="s">
        <v>227</v>
      </c>
      <c r="B21" s="14" t="s">
        <v>228</v>
      </c>
      <c r="C21" s="15" t="s">
        <v>242</v>
      </c>
      <c r="D21" s="16" t="s">
        <v>243</v>
      </c>
      <c r="E21" s="23">
        <v>3</v>
      </c>
      <c r="F21" s="18" t="s">
        <v>120</v>
      </c>
      <c r="G21" s="16" t="s">
        <v>1088</v>
      </c>
      <c r="H21" s="16" t="s">
        <v>1089</v>
      </c>
    </row>
    <row r="22" spans="1:20" ht="90" customHeight="1" x14ac:dyDescent="0.25">
      <c r="A22" s="19" t="s">
        <v>227</v>
      </c>
      <c r="B22" s="19" t="s">
        <v>228</v>
      </c>
      <c r="C22" s="20" t="s">
        <v>244</v>
      </c>
      <c r="D22" s="21" t="s">
        <v>245</v>
      </c>
      <c r="E22" s="23">
        <v>3</v>
      </c>
      <c r="F22" s="18" t="s">
        <v>120</v>
      </c>
      <c r="G22" s="16" t="s">
        <v>1090</v>
      </c>
      <c r="H22" s="21" t="s">
        <v>1089</v>
      </c>
    </row>
    <row r="23" spans="1:20" ht="18" customHeight="1" x14ac:dyDescent="0.25">
      <c r="A23" s="13" t="s">
        <v>246</v>
      </c>
      <c r="B23" s="13" t="s">
        <v>247</v>
      </c>
      <c r="C23" s="13"/>
      <c r="D23" s="13"/>
      <c r="E23" s="13"/>
      <c r="F23" s="13"/>
      <c r="G23" s="13"/>
      <c r="H23" s="13"/>
    </row>
    <row r="24" spans="1:20" ht="120" customHeight="1" x14ac:dyDescent="0.25">
      <c r="A24" s="14" t="s">
        <v>246</v>
      </c>
      <c r="B24" s="14" t="s">
        <v>247</v>
      </c>
      <c r="C24" s="15" t="s">
        <v>248</v>
      </c>
      <c r="D24" s="16" t="s">
        <v>249</v>
      </c>
      <c r="E24" s="22">
        <v>1</v>
      </c>
      <c r="F24" s="18" t="s">
        <v>93</v>
      </c>
      <c r="G24" s="16" t="s">
        <v>1091</v>
      </c>
      <c r="H24" s="16" t="s">
        <v>1092</v>
      </c>
    </row>
    <row r="25" spans="1:20" ht="105" customHeight="1" x14ac:dyDescent="0.25">
      <c r="A25" s="19" t="s">
        <v>246</v>
      </c>
      <c r="B25" s="19" t="s">
        <v>247</v>
      </c>
      <c r="C25" s="20" t="s">
        <v>250</v>
      </c>
      <c r="D25" s="21" t="s">
        <v>251</v>
      </c>
      <c r="E25" s="22">
        <v>1</v>
      </c>
      <c r="F25" s="18" t="s">
        <v>12</v>
      </c>
      <c r="G25" s="21" t="s">
        <v>1093</v>
      </c>
      <c r="H25" s="21" t="s">
        <v>1094</v>
      </c>
    </row>
    <row r="26" spans="1:20" ht="120" customHeight="1" x14ac:dyDescent="0.25">
      <c r="A26" s="14" t="s">
        <v>246</v>
      </c>
      <c r="B26" s="14" t="s">
        <v>247</v>
      </c>
      <c r="C26" s="15" t="s">
        <v>252</v>
      </c>
      <c r="D26" s="16" t="s">
        <v>253</v>
      </c>
      <c r="E26" s="22">
        <v>1</v>
      </c>
      <c r="F26" s="18" t="s">
        <v>178</v>
      </c>
      <c r="G26" s="16" t="s">
        <v>1095</v>
      </c>
      <c r="H26" s="16" t="s">
        <v>1096</v>
      </c>
    </row>
    <row r="27" spans="1:20" ht="75" customHeight="1" x14ac:dyDescent="0.25">
      <c r="A27" s="19" t="s">
        <v>246</v>
      </c>
      <c r="B27" s="19" t="s">
        <v>247</v>
      </c>
      <c r="C27" s="20" t="s">
        <v>254</v>
      </c>
      <c r="D27" s="21" t="s">
        <v>255</v>
      </c>
      <c r="E27" s="17">
        <v>2</v>
      </c>
      <c r="F27" s="18" t="s">
        <v>12</v>
      </c>
      <c r="G27" s="21" t="s">
        <v>1097</v>
      </c>
      <c r="H27" s="21" t="s">
        <v>1098</v>
      </c>
    </row>
    <row r="28" spans="1:20" ht="45" customHeight="1" x14ac:dyDescent="0.25">
      <c r="A28" s="14" t="s">
        <v>246</v>
      </c>
      <c r="B28" s="14" t="s">
        <v>247</v>
      </c>
      <c r="C28" s="15" t="s">
        <v>256</v>
      </c>
      <c r="D28" s="16" t="s">
        <v>257</v>
      </c>
      <c r="E28" s="17">
        <v>2</v>
      </c>
      <c r="F28" s="18" t="s">
        <v>12</v>
      </c>
      <c r="G28" s="16" t="s">
        <v>1099</v>
      </c>
      <c r="H28" s="16" t="s">
        <v>1099</v>
      </c>
      <c r="T28" s="38"/>
    </row>
    <row r="29" spans="1:20" ht="45" customHeight="1" x14ac:dyDescent="0.25">
      <c r="A29" s="19" t="s">
        <v>246</v>
      </c>
      <c r="B29" s="19" t="s">
        <v>247</v>
      </c>
      <c r="C29" s="20" t="s">
        <v>258</v>
      </c>
      <c r="D29" s="21" t="s">
        <v>259</v>
      </c>
      <c r="E29" s="23">
        <v>3</v>
      </c>
      <c r="F29" s="18" t="s">
        <v>93</v>
      </c>
      <c r="G29" s="21" t="s">
        <v>1101</v>
      </c>
      <c r="H29" s="21" t="s">
        <v>1100</v>
      </c>
    </row>
    <row r="30" spans="1:20" ht="45" customHeight="1" x14ac:dyDescent="0.25">
      <c r="A30" s="14" t="s">
        <v>246</v>
      </c>
      <c r="B30" s="14" t="s">
        <v>247</v>
      </c>
      <c r="C30" s="15" t="s">
        <v>260</v>
      </c>
      <c r="D30" s="16" t="s">
        <v>261</v>
      </c>
      <c r="E30" s="23">
        <v>3</v>
      </c>
      <c r="F30" s="18" t="s">
        <v>178</v>
      </c>
      <c r="G30" s="16" t="s">
        <v>1102</v>
      </c>
      <c r="H30" s="16" t="s">
        <v>1103</v>
      </c>
    </row>
    <row r="31" spans="1:20" ht="120" customHeight="1" x14ac:dyDescent="0.25">
      <c r="A31" s="19" t="s">
        <v>246</v>
      </c>
      <c r="B31" s="19" t="s">
        <v>247</v>
      </c>
      <c r="C31" s="20" t="s">
        <v>262</v>
      </c>
      <c r="D31" s="21" t="s">
        <v>263</v>
      </c>
      <c r="E31" s="23">
        <v>3</v>
      </c>
      <c r="F31" s="18" t="s">
        <v>93</v>
      </c>
      <c r="G31" s="21" t="s">
        <v>1104</v>
      </c>
      <c r="H31" s="21" t="s">
        <v>1105</v>
      </c>
    </row>
    <row r="32" spans="1:20" ht="18" customHeight="1" x14ac:dyDescent="0.25">
      <c r="A32" s="13" t="s">
        <v>264</v>
      </c>
      <c r="B32" s="13" t="s">
        <v>265</v>
      </c>
      <c r="C32" s="13"/>
      <c r="D32" s="13"/>
      <c r="E32" s="13"/>
      <c r="F32" s="13"/>
      <c r="G32" s="13"/>
      <c r="H32" s="13"/>
    </row>
    <row r="33" spans="1:8" ht="90" customHeight="1" x14ac:dyDescent="0.25">
      <c r="A33" s="14" t="s">
        <v>264</v>
      </c>
      <c r="B33" s="14" t="s">
        <v>265</v>
      </c>
      <c r="C33" s="15" t="s">
        <v>266</v>
      </c>
      <c r="D33" s="16" t="s">
        <v>267</v>
      </c>
      <c r="E33" s="23">
        <v>3</v>
      </c>
      <c r="F33" s="18" t="s">
        <v>12</v>
      </c>
      <c r="G33" s="16" t="s">
        <v>1106</v>
      </c>
      <c r="H33" s="16" t="s">
        <v>1107</v>
      </c>
    </row>
    <row r="34" spans="1:8" ht="18" customHeight="1" x14ac:dyDescent="0.25">
      <c r="A34" s="13" t="s">
        <v>268</v>
      </c>
      <c r="B34" s="13" t="s">
        <v>269</v>
      </c>
      <c r="C34" s="13"/>
      <c r="D34" s="13"/>
      <c r="E34" s="13"/>
      <c r="F34" s="13"/>
      <c r="G34" s="13"/>
      <c r="H34" s="13"/>
    </row>
    <row r="35" spans="1:8" ht="75" customHeight="1" x14ac:dyDescent="0.25">
      <c r="A35" s="14" t="s">
        <v>268</v>
      </c>
      <c r="B35" s="14" t="s">
        <v>269</v>
      </c>
      <c r="C35" s="15" t="s">
        <v>270</v>
      </c>
      <c r="D35" s="16" t="s">
        <v>271</v>
      </c>
      <c r="E35" s="17">
        <v>2</v>
      </c>
      <c r="F35" s="18" t="s">
        <v>178</v>
      </c>
      <c r="G35" s="16" t="s">
        <v>1108</v>
      </c>
      <c r="H35" s="16" t="s">
        <v>1109</v>
      </c>
    </row>
    <row r="36" spans="1:8" ht="60" customHeight="1" x14ac:dyDescent="0.25">
      <c r="A36" s="19" t="s">
        <v>268</v>
      </c>
      <c r="B36" s="19" t="s">
        <v>269</v>
      </c>
      <c r="C36" s="20" t="s">
        <v>272</v>
      </c>
      <c r="D36" s="21" t="s">
        <v>273</v>
      </c>
      <c r="E36" s="17">
        <v>2</v>
      </c>
      <c r="F36" s="18" t="s">
        <v>12</v>
      </c>
      <c r="G36" s="21" t="s">
        <v>1110</v>
      </c>
      <c r="H36" s="21" t="s">
        <v>211</v>
      </c>
    </row>
    <row r="37" spans="1:8" ht="45" customHeight="1" x14ac:dyDescent="0.25">
      <c r="A37" s="14" t="s">
        <v>268</v>
      </c>
      <c r="B37" s="14" t="s">
        <v>269</v>
      </c>
      <c r="C37" s="15" t="s">
        <v>274</v>
      </c>
      <c r="D37" s="16" t="s">
        <v>275</v>
      </c>
      <c r="E37" s="23">
        <v>3</v>
      </c>
      <c r="F37" s="18" t="s">
        <v>12</v>
      </c>
      <c r="G37" s="16" t="s">
        <v>1111</v>
      </c>
      <c r="H37" s="16" t="s">
        <v>1112</v>
      </c>
    </row>
    <row r="38" spans="1:8" ht="75" customHeight="1" x14ac:dyDescent="0.25">
      <c r="A38" s="19" t="s">
        <v>268</v>
      </c>
      <c r="B38" s="19" t="s">
        <v>269</v>
      </c>
      <c r="C38" s="20" t="s">
        <v>276</v>
      </c>
      <c r="D38" s="21" t="s">
        <v>277</v>
      </c>
      <c r="E38" s="23">
        <v>3</v>
      </c>
      <c r="F38" s="18" t="s">
        <v>120</v>
      </c>
      <c r="G38" s="21" t="s">
        <v>278</v>
      </c>
      <c r="H38" s="21" t="s">
        <v>231</v>
      </c>
    </row>
    <row r="39" spans="1:8" ht="60" customHeight="1" x14ac:dyDescent="0.25">
      <c r="A39" s="14" t="s">
        <v>268</v>
      </c>
      <c r="B39" s="14" t="s">
        <v>269</v>
      </c>
      <c r="C39" s="15" t="s">
        <v>279</v>
      </c>
      <c r="D39" s="16" t="s">
        <v>280</v>
      </c>
      <c r="E39" s="23">
        <v>3</v>
      </c>
      <c r="F39" s="18" t="s">
        <v>120</v>
      </c>
      <c r="G39" s="16" t="s">
        <v>281</v>
      </c>
      <c r="H39" s="16" t="s">
        <v>121</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400-000000000000}">
      <formula1>"Not Started,In Progress,Compliant,Not Applicable"</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
  <sheetViews>
    <sheetView topLeftCell="A10" zoomScale="70" zoomScaleNormal="70" workbookViewId="0">
      <selection activeCell="H15" sqref="H15"/>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282</v>
      </c>
      <c r="B2" s="13" t="s">
        <v>283</v>
      </c>
      <c r="C2" s="13"/>
      <c r="D2" s="13"/>
      <c r="E2" s="13"/>
      <c r="F2" s="13"/>
      <c r="G2" s="13"/>
      <c r="H2" s="13"/>
    </row>
    <row r="3" spans="1:8" ht="90" x14ac:dyDescent="0.25">
      <c r="A3" s="14" t="s">
        <v>282</v>
      </c>
      <c r="B3" s="14" t="s">
        <v>283</v>
      </c>
      <c r="C3" s="15" t="s">
        <v>284</v>
      </c>
      <c r="D3" s="16" t="s">
        <v>285</v>
      </c>
      <c r="E3" s="22">
        <v>1</v>
      </c>
      <c r="F3" s="18" t="s">
        <v>93</v>
      </c>
      <c r="G3" s="16" t="s">
        <v>1113</v>
      </c>
      <c r="H3" s="16" t="s">
        <v>1114</v>
      </c>
    </row>
    <row r="4" spans="1:8" ht="105" customHeight="1" x14ac:dyDescent="0.25">
      <c r="A4" s="19" t="s">
        <v>282</v>
      </c>
      <c r="B4" s="19" t="s">
        <v>283</v>
      </c>
      <c r="C4" s="20" t="s">
        <v>286</v>
      </c>
      <c r="D4" s="21" t="s">
        <v>287</v>
      </c>
      <c r="E4" s="17">
        <v>2</v>
      </c>
      <c r="F4" s="18" t="s">
        <v>93</v>
      </c>
      <c r="G4" s="21" t="s">
        <v>1115</v>
      </c>
      <c r="H4" s="21" t="s">
        <v>1116</v>
      </c>
    </row>
    <row r="5" spans="1:8" ht="75" customHeight="1" x14ac:dyDescent="0.25">
      <c r="A5" s="14" t="s">
        <v>282</v>
      </c>
      <c r="B5" s="14" t="s">
        <v>283</v>
      </c>
      <c r="C5" s="15" t="s">
        <v>288</v>
      </c>
      <c r="D5" s="16" t="s">
        <v>289</v>
      </c>
      <c r="E5" s="17">
        <v>2</v>
      </c>
      <c r="F5" s="18" t="s">
        <v>93</v>
      </c>
      <c r="G5" s="16" t="s">
        <v>1119</v>
      </c>
      <c r="H5" s="16" t="s">
        <v>1120</v>
      </c>
    </row>
    <row r="6" spans="1:8" ht="75" x14ac:dyDescent="0.25">
      <c r="A6" s="19" t="s">
        <v>282</v>
      </c>
      <c r="B6" s="19" t="s">
        <v>283</v>
      </c>
      <c r="C6" s="20" t="s">
        <v>290</v>
      </c>
      <c r="D6" s="21" t="s">
        <v>291</v>
      </c>
      <c r="E6" s="23">
        <v>3</v>
      </c>
      <c r="F6" s="18" t="s">
        <v>93</v>
      </c>
      <c r="G6" s="21" t="s">
        <v>1117</v>
      </c>
      <c r="H6" s="21" t="s">
        <v>1118</v>
      </c>
    </row>
    <row r="7" spans="1:8" ht="60" customHeight="1" x14ac:dyDescent="0.25">
      <c r="A7" s="14" t="s">
        <v>282</v>
      </c>
      <c r="B7" s="14" t="s">
        <v>283</v>
      </c>
      <c r="C7" s="15" t="s">
        <v>292</v>
      </c>
      <c r="D7" s="16" t="s">
        <v>293</v>
      </c>
      <c r="E7" s="23">
        <v>3</v>
      </c>
      <c r="F7" s="18" t="s">
        <v>12</v>
      </c>
      <c r="G7" s="16" t="s">
        <v>100</v>
      </c>
      <c r="H7" s="16" t="s">
        <v>101</v>
      </c>
    </row>
    <row r="8" spans="1:8" ht="18" customHeight="1" x14ac:dyDescent="0.25">
      <c r="A8" s="13" t="s">
        <v>294</v>
      </c>
      <c r="B8" s="13" t="s">
        <v>295</v>
      </c>
      <c r="C8" s="13"/>
      <c r="D8" s="13"/>
      <c r="E8" s="13"/>
      <c r="F8" s="13"/>
      <c r="G8" s="13"/>
      <c r="H8" s="13"/>
    </row>
    <row r="9" spans="1:8" ht="135" customHeight="1" x14ac:dyDescent="0.25">
      <c r="A9" s="14" t="s">
        <v>294</v>
      </c>
      <c r="B9" s="14" t="s">
        <v>295</v>
      </c>
      <c r="C9" s="15" t="s">
        <v>296</v>
      </c>
      <c r="D9" s="16" t="s">
        <v>297</v>
      </c>
      <c r="E9" s="17">
        <v>2</v>
      </c>
      <c r="F9" s="18" t="s">
        <v>93</v>
      </c>
      <c r="G9" s="16" t="s">
        <v>1121</v>
      </c>
      <c r="H9" s="16" t="s">
        <v>1122</v>
      </c>
    </row>
    <row r="10" spans="1:8" ht="75" x14ac:dyDescent="0.25">
      <c r="A10" s="19" t="s">
        <v>294</v>
      </c>
      <c r="B10" s="19" t="s">
        <v>295</v>
      </c>
      <c r="C10" s="20" t="s">
        <v>298</v>
      </c>
      <c r="D10" s="21" t="s">
        <v>299</v>
      </c>
      <c r="E10" s="23">
        <v>3</v>
      </c>
      <c r="F10" s="18" t="s">
        <v>93</v>
      </c>
      <c r="G10" s="16" t="s">
        <v>1123</v>
      </c>
      <c r="H10" s="21" t="s">
        <v>1124</v>
      </c>
    </row>
    <row r="11" spans="1:8" ht="75" x14ac:dyDescent="0.25">
      <c r="A11" s="14" t="s">
        <v>294</v>
      </c>
      <c r="B11" s="14" t="s">
        <v>295</v>
      </c>
      <c r="C11" s="15" t="s">
        <v>300</v>
      </c>
      <c r="D11" s="16" t="s">
        <v>301</v>
      </c>
      <c r="E11" s="23">
        <v>3</v>
      </c>
      <c r="F11" s="18" t="s">
        <v>93</v>
      </c>
      <c r="G11" s="16" t="s">
        <v>1125</v>
      </c>
      <c r="H11" s="16" t="s">
        <v>1126</v>
      </c>
    </row>
    <row r="12" spans="1:8" ht="60" customHeight="1" x14ac:dyDescent="0.25">
      <c r="A12" s="19" t="s">
        <v>294</v>
      </c>
      <c r="B12" s="19" t="s">
        <v>295</v>
      </c>
      <c r="C12" s="20" t="s">
        <v>302</v>
      </c>
      <c r="D12" s="21" t="s">
        <v>303</v>
      </c>
      <c r="E12" s="23">
        <v>3</v>
      </c>
      <c r="F12" s="18" t="s">
        <v>93</v>
      </c>
      <c r="G12" s="16" t="s">
        <v>1127</v>
      </c>
      <c r="H12" s="21" t="s">
        <v>1105</v>
      </c>
    </row>
    <row r="13" spans="1:8" ht="120" customHeight="1" x14ac:dyDescent="0.25">
      <c r="A13" s="14" t="s">
        <v>294</v>
      </c>
      <c r="B13" s="14" t="s">
        <v>295</v>
      </c>
      <c r="C13" s="15" t="s">
        <v>304</v>
      </c>
      <c r="D13" s="16" t="s">
        <v>305</v>
      </c>
      <c r="E13" s="23">
        <v>3</v>
      </c>
      <c r="F13" s="18" t="s">
        <v>93</v>
      </c>
      <c r="G13" s="16" t="s">
        <v>1128</v>
      </c>
      <c r="H13" s="16" t="s">
        <v>1129</v>
      </c>
    </row>
    <row r="14" spans="1:8" ht="18" customHeight="1" x14ac:dyDescent="0.25">
      <c r="A14" s="13" t="s">
        <v>306</v>
      </c>
      <c r="B14" s="13" t="s">
        <v>307</v>
      </c>
      <c r="C14" s="13"/>
      <c r="D14" s="13"/>
      <c r="E14" s="13"/>
      <c r="F14" s="13"/>
      <c r="G14" s="13"/>
      <c r="H14" s="13"/>
    </row>
    <row r="15" spans="1:8" ht="60" customHeight="1" x14ac:dyDescent="0.25">
      <c r="A15" s="14" t="s">
        <v>306</v>
      </c>
      <c r="B15" s="14" t="s">
        <v>307</v>
      </c>
      <c r="C15" s="15" t="s">
        <v>308</v>
      </c>
      <c r="D15" s="16" t="s">
        <v>309</v>
      </c>
      <c r="E15" s="17">
        <v>2</v>
      </c>
      <c r="F15" s="18" t="s">
        <v>12</v>
      </c>
      <c r="G15" s="16" t="s">
        <v>1130</v>
      </c>
      <c r="H15" s="16" t="s">
        <v>311</v>
      </c>
    </row>
    <row r="16" spans="1:8" ht="45" customHeight="1" x14ac:dyDescent="0.25">
      <c r="A16" s="19" t="s">
        <v>306</v>
      </c>
      <c r="B16" s="19" t="s">
        <v>307</v>
      </c>
      <c r="C16" s="20" t="s">
        <v>312</v>
      </c>
      <c r="D16" s="21" t="s">
        <v>313</v>
      </c>
      <c r="E16" s="17">
        <v>2</v>
      </c>
      <c r="F16" s="18" t="s">
        <v>12</v>
      </c>
      <c r="G16" s="21" t="s">
        <v>310</v>
      </c>
      <c r="H16" s="21" t="s">
        <v>311</v>
      </c>
    </row>
    <row r="17" spans="1:8" ht="18" customHeight="1" x14ac:dyDescent="0.25">
      <c r="A17" s="13" t="s">
        <v>314</v>
      </c>
      <c r="B17" s="13" t="s">
        <v>315</v>
      </c>
      <c r="C17" s="13"/>
      <c r="D17" s="13"/>
      <c r="E17" s="13"/>
      <c r="F17" s="13"/>
      <c r="G17" s="13"/>
      <c r="H17" s="13"/>
    </row>
    <row r="18" spans="1:8" ht="30" customHeight="1" x14ac:dyDescent="0.25">
      <c r="A18" s="14" t="s">
        <v>314</v>
      </c>
      <c r="B18" s="14" t="s">
        <v>315</v>
      </c>
      <c r="C18" s="15" t="s">
        <v>316</v>
      </c>
      <c r="D18" s="16" t="s">
        <v>317</v>
      </c>
      <c r="E18" s="22">
        <v>1</v>
      </c>
      <c r="F18" s="18" t="s">
        <v>12</v>
      </c>
      <c r="G18" s="16" t="s">
        <v>318</v>
      </c>
      <c r="H18" s="16" t="s">
        <v>319</v>
      </c>
    </row>
    <row r="19" spans="1:8" ht="45" customHeight="1" x14ac:dyDescent="0.25">
      <c r="A19" s="19" t="s">
        <v>314</v>
      </c>
      <c r="B19" s="19" t="s">
        <v>315</v>
      </c>
      <c r="C19" s="20" t="s">
        <v>320</v>
      </c>
      <c r="D19" s="21" t="s">
        <v>321</v>
      </c>
      <c r="E19" s="17">
        <v>2</v>
      </c>
      <c r="F19" s="18" t="s">
        <v>12</v>
      </c>
      <c r="G19" s="21" t="s">
        <v>318</v>
      </c>
      <c r="H19" s="21" t="s">
        <v>319</v>
      </c>
    </row>
    <row r="20" spans="1:8" ht="60" customHeight="1" x14ac:dyDescent="0.25">
      <c r="A20" s="14" t="s">
        <v>314</v>
      </c>
      <c r="B20" s="14" t="s">
        <v>315</v>
      </c>
      <c r="C20" s="15" t="s">
        <v>322</v>
      </c>
      <c r="D20" s="16" t="s">
        <v>323</v>
      </c>
      <c r="E20" s="17">
        <v>2</v>
      </c>
      <c r="F20" s="18" t="s">
        <v>120</v>
      </c>
      <c r="G20" s="16" t="s">
        <v>324</v>
      </c>
      <c r="H20" s="16" t="s">
        <v>185</v>
      </c>
    </row>
    <row r="21" spans="1:8" ht="60" customHeight="1" x14ac:dyDescent="0.25">
      <c r="A21" s="19" t="s">
        <v>314</v>
      </c>
      <c r="B21" s="19" t="s">
        <v>315</v>
      </c>
      <c r="C21" s="20" t="s">
        <v>325</v>
      </c>
      <c r="D21" s="21" t="s">
        <v>326</v>
      </c>
      <c r="E21" s="17">
        <v>2</v>
      </c>
      <c r="F21" s="18" t="s">
        <v>12</v>
      </c>
      <c r="G21" s="21" t="s">
        <v>318</v>
      </c>
      <c r="H21" s="21" t="s">
        <v>319</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500-000000000000}">
      <formula1>"Not Started,In Progress,Compliant,Not Applicable"</formula1>
      <formula2>0</formula2>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zoomScale="80" zoomScaleNormal="80" workbookViewId="0">
      <selection activeCell="G8" sqref="G8"/>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327</v>
      </c>
      <c r="B2" s="13" t="s">
        <v>328</v>
      </c>
      <c r="C2" s="13"/>
      <c r="D2" s="13"/>
      <c r="E2" s="13"/>
      <c r="F2" s="13"/>
      <c r="G2" s="13"/>
      <c r="H2" s="13"/>
    </row>
    <row r="3" spans="1:8" ht="112.5" customHeight="1" x14ac:dyDescent="0.25">
      <c r="A3" s="14" t="s">
        <v>327</v>
      </c>
      <c r="B3" s="14" t="s">
        <v>328</v>
      </c>
      <c r="C3" s="15" t="s">
        <v>329</v>
      </c>
      <c r="D3" s="16" t="s">
        <v>330</v>
      </c>
      <c r="E3" s="17">
        <v>2</v>
      </c>
      <c r="F3" s="18" t="s">
        <v>93</v>
      </c>
      <c r="G3" s="16" t="s">
        <v>1131</v>
      </c>
      <c r="H3" s="16" t="s">
        <v>1132</v>
      </c>
    </row>
    <row r="4" spans="1:8" ht="18" customHeight="1" x14ac:dyDescent="0.25">
      <c r="A4" s="13" t="s">
        <v>331</v>
      </c>
      <c r="B4" s="13" t="s">
        <v>332</v>
      </c>
      <c r="C4" s="13"/>
      <c r="D4" s="13"/>
      <c r="E4" s="13"/>
      <c r="F4" s="13"/>
      <c r="G4" s="13"/>
      <c r="H4" s="13"/>
    </row>
    <row r="5" spans="1:8" ht="120" x14ac:dyDescent="0.25">
      <c r="A5" s="14" t="s">
        <v>331</v>
      </c>
      <c r="B5" s="14" t="s">
        <v>332</v>
      </c>
      <c r="C5" s="15" t="s">
        <v>333</v>
      </c>
      <c r="D5" s="16" t="s">
        <v>334</v>
      </c>
      <c r="E5" s="22">
        <v>1</v>
      </c>
      <c r="F5" s="18" t="s">
        <v>178</v>
      </c>
      <c r="G5" s="16" t="s">
        <v>1133</v>
      </c>
      <c r="H5" s="16" t="s">
        <v>1134</v>
      </c>
    </row>
    <row r="6" spans="1:8" ht="150" customHeight="1" x14ac:dyDescent="0.25">
      <c r="A6" s="19" t="s">
        <v>331</v>
      </c>
      <c r="B6" s="19" t="s">
        <v>332</v>
      </c>
      <c r="C6" s="20" t="s">
        <v>336</v>
      </c>
      <c r="D6" s="21" t="s">
        <v>337</v>
      </c>
      <c r="E6" s="22">
        <v>1</v>
      </c>
      <c r="F6" s="18" t="s">
        <v>178</v>
      </c>
      <c r="G6" s="21" t="s">
        <v>1135</v>
      </c>
      <c r="H6" s="21" t="s">
        <v>1136</v>
      </c>
    </row>
    <row r="7" spans="1:8" ht="45" customHeight="1" x14ac:dyDescent="0.25">
      <c r="A7" s="14" t="s">
        <v>331</v>
      </c>
      <c r="B7" s="14" t="s">
        <v>332</v>
      </c>
      <c r="C7" s="15" t="s">
        <v>338</v>
      </c>
      <c r="D7" s="16" t="s">
        <v>339</v>
      </c>
      <c r="E7" s="17">
        <v>2</v>
      </c>
      <c r="F7" s="18" t="s">
        <v>12</v>
      </c>
      <c r="G7" s="16" t="s">
        <v>340</v>
      </c>
      <c r="H7" s="16" t="s">
        <v>341</v>
      </c>
    </row>
    <row r="8" spans="1:8" ht="71.25" customHeight="1" x14ac:dyDescent="0.25">
      <c r="A8" s="19" t="s">
        <v>331</v>
      </c>
      <c r="B8" s="19" t="s">
        <v>332</v>
      </c>
      <c r="C8" s="20" t="s">
        <v>342</v>
      </c>
      <c r="D8" s="21" t="s">
        <v>343</v>
      </c>
      <c r="E8" s="23">
        <v>3</v>
      </c>
      <c r="F8" s="18" t="s">
        <v>93</v>
      </c>
      <c r="G8" s="21" t="s">
        <v>1138</v>
      </c>
      <c r="H8" s="21" t="s">
        <v>1137</v>
      </c>
    </row>
    <row r="9" spans="1:8" ht="60" customHeight="1" x14ac:dyDescent="0.25">
      <c r="A9" s="14" t="s">
        <v>331</v>
      </c>
      <c r="B9" s="14" t="s">
        <v>332</v>
      </c>
      <c r="C9" s="15" t="s">
        <v>344</v>
      </c>
      <c r="D9" s="16" t="s">
        <v>345</v>
      </c>
      <c r="E9" s="23">
        <v>3</v>
      </c>
      <c r="F9" s="18" t="s">
        <v>12</v>
      </c>
      <c r="G9" s="16" t="s">
        <v>340</v>
      </c>
      <c r="H9" s="16" t="s">
        <v>341</v>
      </c>
    </row>
    <row r="10" spans="1:8" ht="45" customHeight="1" x14ac:dyDescent="0.25">
      <c r="A10" s="19" t="s">
        <v>331</v>
      </c>
      <c r="B10" s="19" t="s">
        <v>332</v>
      </c>
      <c r="C10" s="20" t="s">
        <v>346</v>
      </c>
      <c r="D10" s="21" t="s">
        <v>347</v>
      </c>
      <c r="E10" s="23">
        <v>3</v>
      </c>
      <c r="F10" s="18" t="s">
        <v>12</v>
      </c>
      <c r="G10" s="21" t="s">
        <v>348</v>
      </c>
      <c r="H10" s="21" t="s">
        <v>349</v>
      </c>
    </row>
    <row r="11" spans="1:8" ht="18" customHeight="1" x14ac:dyDescent="0.25">
      <c r="A11" s="13" t="s">
        <v>350</v>
      </c>
      <c r="B11" s="13" t="s">
        <v>351</v>
      </c>
      <c r="C11" s="13"/>
      <c r="D11" s="13"/>
      <c r="E11" s="13"/>
      <c r="F11" s="13"/>
      <c r="G11" s="13"/>
      <c r="H11" s="13"/>
    </row>
    <row r="12" spans="1:8" ht="90" x14ac:dyDescent="0.25">
      <c r="A12" s="14" t="s">
        <v>350</v>
      </c>
      <c r="B12" s="14" t="s">
        <v>351</v>
      </c>
      <c r="C12" s="15" t="s">
        <v>352</v>
      </c>
      <c r="D12" s="16" t="s">
        <v>353</v>
      </c>
      <c r="E12" s="22">
        <v>1</v>
      </c>
      <c r="F12" s="18" t="s">
        <v>178</v>
      </c>
      <c r="G12" s="16" t="s">
        <v>1139</v>
      </c>
      <c r="H12" s="16" t="s">
        <v>1140</v>
      </c>
    </row>
    <row r="13" spans="1:8" ht="105" customHeight="1" x14ac:dyDescent="0.25">
      <c r="A13" s="19" t="s">
        <v>350</v>
      </c>
      <c r="B13" s="19" t="s">
        <v>351</v>
      </c>
      <c r="C13" s="20" t="s">
        <v>354</v>
      </c>
      <c r="D13" s="21" t="s">
        <v>355</v>
      </c>
      <c r="E13" s="22">
        <v>1</v>
      </c>
      <c r="F13" s="18" t="s">
        <v>178</v>
      </c>
      <c r="G13" s="21" t="s">
        <v>1141</v>
      </c>
      <c r="H13" s="21" t="s">
        <v>1142</v>
      </c>
    </row>
    <row r="14" spans="1:8" ht="90" x14ac:dyDescent="0.25">
      <c r="A14" s="14" t="s">
        <v>350</v>
      </c>
      <c r="B14" s="14" t="s">
        <v>351</v>
      </c>
      <c r="C14" s="15" t="s">
        <v>356</v>
      </c>
      <c r="D14" s="16" t="s">
        <v>357</v>
      </c>
      <c r="E14" s="23">
        <v>3</v>
      </c>
      <c r="F14" s="18" t="s">
        <v>178</v>
      </c>
      <c r="G14" s="16" t="s">
        <v>1143</v>
      </c>
      <c r="H14" s="16" t="s">
        <v>1144</v>
      </c>
    </row>
    <row r="15" spans="1:8" ht="18" customHeight="1" x14ac:dyDescent="0.25">
      <c r="A15" s="13" t="s">
        <v>358</v>
      </c>
      <c r="B15" s="13" t="s">
        <v>359</v>
      </c>
      <c r="C15" s="13"/>
      <c r="D15" s="13"/>
      <c r="E15" s="13"/>
      <c r="F15" s="13"/>
      <c r="G15" s="13"/>
      <c r="H15" s="13"/>
    </row>
    <row r="16" spans="1:8" ht="60" customHeight="1" x14ac:dyDescent="0.25">
      <c r="A16" s="14" t="s">
        <v>358</v>
      </c>
      <c r="B16" s="14" t="s">
        <v>359</v>
      </c>
      <c r="C16" s="15" t="s">
        <v>360</v>
      </c>
      <c r="D16" s="16" t="s">
        <v>361</v>
      </c>
      <c r="E16" s="17">
        <v>2</v>
      </c>
      <c r="F16" s="18" t="s">
        <v>178</v>
      </c>
      <c r="G16" s="16" t="s">
        <v>1145</v>
      </c>
      <c r="H16" s="16" t="s">
        <v>1146</v>
      </c>
    </row>
    <row r="17" spans="1:8" ht="60" x14ac:dyDescent="0.25">
      <c r="A17" s="19" t="s">
        <v>358</v>
      </c>
      <c r="B17" s="19" t="s">
        <v>359</v>
      </c>
      <c r="C17" s="20" t="s">
        <v>362</v>
      </c>
      <c r="D17" s="21" t="s">
        <v>363</v>
      </c>
      <c r="E17" s="17">
        <v>2</v>
      </c>
      <c r="F17" s="18" t="s">
        <v>178</v>
      </c>
      <c r="G17" s="21" t="s">
        <v>1147</v>
      </c>
      <c r="H17" s="21" t="s">
        <v>1148</v>
      </c>
    </row>
    <row r="18" spans="1:8" ht="60" customHeight="1" x14ac:dyDescent="0.25">
      <c r="A18" s="14" t="s">
        <v>358</v>
      </c>
      <c r="B18" s="14" t="s">
        <v>359</v>
      </c>
      <c r="C18" s="15" t="s">
        <v>364</v>
      </c>
      <c r="D18" s="16" t="s">
        <v>365</v>
      </c>
      <c r="E18" s="17">
        <v>2</v>
      </c>
      <c r="F18" s="18" t="s">
        <v>93</v>
      </c>
      <c r="G18" s="16" t="s">
        <v>1149</v>
      </c>
      <c r="H18" s="16" t="s">
        <v>1150</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600-000000000000}">
      <formula1>"Not Started,In Progress,Compliant,Not Applicable"</formula1>
      <formula2>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6"/>
  <sheetViews>
    <sheetView topLeftCell="A14" zoomScale="60" zoomScaleNormal="60" workbookViewId="0">
      <selection activeCell="G14" sqref="G14"/>
    </sheetView>
  </sheetViews>
  <sheetFormatPr defaultColWidth="8.42578125" defaultRowHeight="15" x14ac:dyDescent="0.25"/>
  <cols>
    <col min="1" max="1" width="12" customWidth="1"/>
    <col min="2" max="2" width="28" customWidth="1"/>
    <col min="3" max="3" width="12" customWidth="1"/>
    <col min="4" max="4" width="93" customWidth="1"/>
    <col min="5" max="5" width="8" customWidth="1"/>
    <col min="6" max="6" width="16" customWidth="1"/>
    <col min="7" max="8" width="48.4257812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366</v>
      </c>
      <c r="B2" s="13" t="s">
        <v>367</v>
      </c>
      <c r="C2" s="13"/>
      <c r="D2" s="13"/>
      <c r="E2" s="13"/>
      <c r="F2" s="13"/>
      <c r="G2" s="13"/>
      <c r="H2" s="13"/>
    </row>
    <row r="3" spans="1:8" ht="60" customHeight="1" x14ac:dyDescent="0.25">
      <c r="A3" s="14" t="s">
        <v>366</v>
      </c>
      <c r="B3" s="14" t="s">
        <v>367</v>
      </c>
      <c r="C3" s="15" t="s">
        <v>368</v>
      </c>
      <c r="D3" s="16" t="s">
        <v>369</v>
      </c>
      <c r="E3" s="22">
        <v>1</v>
      </c>
      <c r="F3" s="18" t="s">
        <v>93</v>
      </c>
      <c r="G3" s="16" t="s">
        <v>370</v>
      </c>
      <c r="H3" s="16" t="s">
        <v>371</v>
      </c>
    </row>
    <row r="4" spans="1:8" ht="45" customHeight="1" x14ac:dyDescent="0.25">
      <c r="A4" s="19" t="s">
        <v>366</v>
      </c>
      <c r="B4" s="19" t="s">
        <v>367</v>
      </c>
      <c r="C4" s="20" t="s">
        <v>372</v>
      </c>
      <c r="D4" s="21" t="s">
        <v>373</v>
      </c>
      <c r="E4" s="31">
        <v>2</v>
      </c>
      <c r="F4" s="18" t="s">
        <v>120</v>
      </c>
      <c r="G4" s="21" t="s">
        <v>374</v>
      </c>
      <c r="H4" s="21" t="s">
        <v>375</v>
      </c>
    </row>
    <row r="5" spans="1:8" ht="45" customHeight="1" x14ac:dyDescent="0.25">
      <c r="A5" s="28" t="s">
        <v>366</v>
      </c>
      <c r="B5" s="28" t="s">
        <v>367</v>
      </c>
      <c r="C5" s="29" t="s">
        <v>376</v>
      </c>
      <c r="D5" s="30" t="s">
        <v>377</v>
      </c>
      <c r="E5" s="31">
        <v>2</v>
      </c>
      <c r="F5" s="18" t="s">
        <v>12</v>
      </c>
      <c r="G5" s="30" t="s">
        <v>378</v>
      </c>
      <c r="H5" s="30" t="s">
        <v>379</v>
      </c>
    </row>
    <row r="6" spans="1:8" ht="18" customHeight="1" x14ac:dyDescent="0.25">
      <c r="A6" s="13" t="s">
        <v>380</v>
      </c>
      <c r="B6" s="13" t="s">
        <v>381</v>
      </c>
      <c r="C6" s="13"/>
      <c r="D6" s="13"/>
      <c r="E6" s="13"/>
      <c r="F6" s="13"/>
      <c r="G6" s="13"/>
      <c r="H6" s="13"/>
    </row>
    <row r="7" spans="1:8" ht="45" customHeight="1" x14ac:dyDescent="0.25">
      <c r="A7" s="14" t="s">
        <v>380</v>
      </c>
      <c r="B7" s="14" t="s">
        <v>381</v>
      </c>
      <c r="C7" s="15" t="s">
        <v>382</v>
      </c>
      <c r="D7" s="16" t="s">
        <v>383</v>
      </c>
      <c r="E7" s="22">
        <v>1</v>
      </c>
      <c r="F7" s="18" t="s">
        <v>178</v>
      </c>
      <c r="G7" s="16" t="s">
        <v>1151</v>
      </c>
      <c r="H7" s="16" t="s">
        <v>1152</v>
      </c>
    </row>
    <row r="8" spans="1:8" ht="45" customHeight="1" x14ac:dyDescent="0.25">
      <c r="A8" s="19" t="s">
        <v>380</v>
      </c>
      <c r="B8" s="19" t="s">
        <v>381</v>
      </c>
      <c r="C8" s="20" t="s">
        <v>385</v>
      </c>
      <c r="D8" s="21" t="s">
        <v>386</v>
      </c>
      <c r="E8" s="22">
        <v>1</v>
      </c>
      <c r="F8" s="18" t="s">
        <v>120</v>
      </c>
      <c r="G8" s="16" t="s">
        <v>384</v>
      </c>
      <c r="H8" s="16" t="s">
        <v>387</v>
      </c>
    </row>
    <row r="9" spans="1:8" ht="45" customHeight="1" x14ac:dyDescent="0.25">
      <c r="A9" s="14" t="s">
        <v>380</v>
      </c>
      <c r="B9" s="14" t="s">
        <v>381</v>
      </c>
      <c r="C9" s="15" t="s">
        <v>388</v>
      </c>
      <c r="D9" s="16" t="s">
        <v>389</v>
      </c>
      <c r="E9" s="22">
        <v>1</v>
      </c>
      <c r="F9" s="18" t="s">
        <v>120</v>
      </c>
      <c r="G9" s="16" t="s">
        <v>384</v>
      </c>
      <c r="H9" s="16" t="s">
        <v>390</v>
      </c>
    </row>
    <row r="10" spans="1:8" ht="45" customHeight="1" x14ac:dyDescent="0.25">
      <c r="A10" s="19" t="s">
        <v>380</v>
      </c>
      <c r="B10" s="19" t="s">
        <v>381</v>
      </c>
      <c r="C10" s="20" t="s">
        <v>391</v>
      </c>
      <c r="D10" s="21" t="s">
        <v>392</v>
      </c>
      <c r="E10" s="22">
        <v>1</v>
      </c>
      <c r="F10" s="18" t="s">
        <v>120</v>
      </c>
      <c r="G10" s="16" t="s">
        <v>384</v>
      </c>
      <c r="H10" s="16" t="s">
        <v>393</v>
      </c>
    </row>
    <row r="11" spans="1:8" ht="45" customHeight="1" x14ac:dyDescent="0.25">
      <c r="A11" s="14" t="s">
        <v>380</v>
      </c>
      <c r="B11" s="14" t="s">
        <v>381</v>
      </c>
      <c r="C11" s="15" t="s">
        <v>394</v>
      </c>
      <c r="D11" s="16" t="s">
        <v>395</v>
      </c>
      <c r="E11" s="22">
        <v>1</v>
      </c>
      <c r="F11" s="18" t="s">
        <v>120</v>
      </c>
      <c r="G11" s="16" t="s">
        <v>384</v>
      </c>
      <c r="H11" s="16" t="s">
        <v>396</v>
      </c>
    </row>
    <row r="12" spans="1:8" ht="30" customHeight="1" x14ac:dyDescent="0.25">
      <c r="A12" s="19" t="s">
        <v>380</v>
      </c>
      <c r="B12" s="19" t="s">
        <v>381</v>
      </c>
      <c r="C12" s="20" t="s">
        <v>397</v>
      </c>
      <c r="D12" s="21" t="s">
        <v>398</v>
      </c>
      <c r="E12" s="22">
        <v>1</v>
      </c>
      <c r="F12" s="18" t="s">
        <v>178</v>
      </c>
      <c r="G12" s="21" t="s">
        <v>1153</v>
      </c>
      <c r="H12" s="21" t="s">
        <v>1154</v>
      </c>
    </row>
    <row r="13" spans="1:8" ht="45" x14ac:dyDescent="0.25">
      <c r="A13" s="14" t="s">
        <v>380</v>
      </c>
      <c r="B13" s="14" t="s">
        <v>381</v>
      </c>
      <c r="C13" s="15" t="s">
        <v>399</v>
      </c>
      <c r="D13" s="16" t="s">
        <v>400</v>
      </c>
      <c r="E13" s="22">
        <v>1</v>
      </c>
      <c r="F13" s="18" t="s">
        <v>178</v>
      </c>
      <c r="G13" s="16" t="s">
        <v>1155</v>
      </c>
      <c r="H13" s="16" t="s">
        <v>1154</v>
      </c>
    </row>
    <row r="14" spans="1:8" ht="45" x14ac:dyDescent="0.25">
      <c r="A14" s="19" t="s">
        <v>380</v>
      </c>
      <c r="B14" s="19" t="s">
        <v>381</v>
      </c>
      <c r="C14" s="20" t="s">
        <v>401</v>
      </c>
      <c r="D14" s="21" t="s">
        <v>402</v>
      </c>
      <c r="E14" s="22">
        <v>1</v>
      </c>
      <c r="F14" s="18" t="s">
        <v>178</v>
      </c>
      <c r="G14" s="21" t="s">
        <v>1156</v>
      </c>
      <c r="H14" s="21" t="s">
        <v>1157</v>
      </c>
    </row>
    <row r="15" spans="1:8" ht="45" customHeight="1" x14ac:dyDescent="0.25">
      <c r="A15" s="14" t="s">
        <v>380</v>
      </c>
      <c r="B15" s="14" t="s">
        <v>381</v>
      </c>
      <c r="C15" s="15" t="s">
        <v>404</v>
      </c>
      <c r="D15" s="16" t="s">
        <v>405</v>
      </c>
      <c r="E15" s="17">
        <v>2</v>
      </c>
      <c r="F15" s="18" t="s">
        <v>178</v>
      </c>
      <c r="G15" s="21" t="s">
        <v>1158</v>
      </c>
      <c r="H15" s="21" t="s">
        <v>1159</v>
      </c>
    </row>
    <row r="16" spans="1:8" ht="45" customHeight="1" x14ac:dyDescent="0.25">
      <c r="A16" s="19" t="s">
        <v>380</v>
      </c>
      <c r="B16" s="19" t="s">
        <v>381</v>
      </c>
      <c r="C16" s="20" t="s">
        <v>406</v>
      </c>
      <c r="D16" s="21" t="s">
        <v>407</v>
      </c>
      <c r="E16" s="17">
        <v>2</v>
      </c>
      <c r="F16" s="18" t="s">
        <v>120</v>
      </c>
      <c r="G16" s="21" t="s">
        <v>403</v>
      </c>
      <c r="H16" s="21" t="s">
        <v>390</v>
      </c>
    </row>
    <row r="17" spans="1:8" ht="45" customHeight="1" x14ac:dyDescent="0.25">
      <c r="A17" s="14" t="s">
        <v>380</v>
      </c>
      <c r="B17" s="14" t="s">
        <v>381</v>
      </c>
      <c r="C17" s="15" t="s">
        <v>408</v>
      </c>
      <c r="D17" s="16" t="s">
        <v>409</v>
      </c>
      <c r="E17" s="17">
        <v>2</v>
      </c>
      <c r="F17" s="18" t="s">
        <v>120</v>
      </c>
      <c r="G17" s="21" t="s">
        <v>403</v>
      </c>
      <c r="H17" s="21" t="s">
        <v>393</v>
      </c>
    </row>
    <row r="18" spans="1:8" ht="45" customHeight="1" x14ac:dyDescent="0.25">
      <c r="A18" s="19" t="s">
        <v>380</v>
      </c>
      <c r="B18" s="19" t="s">
        <v>381</v>
      </c>
      <c r="C18" s="20" t="s">
        <v>410</v>
      </c>
      <c r="D18" s="21" t="s">
        <v>411</v>
      </c>
      <c r="E18" s="17">
        <v>2</v>
      </c>
      <c r="F18" s="18" t="s">
        <v>120</v>
      </c>
      <c r="G18" s="21" t="s">
        <v>403</v>
      </c>
      <c r="H18" s="21" t="s">
        <v>396</v>
      </c>
    </row>
    <row r="19" spans="1:8" ht="18" customHeight="1" x14ac:dyDescent="0.25">
      <c r="A19" s="13" t="s">
        <v>412</v>
      </c>
      <c r="B19" s="13" t="s">
        <v>413</v>
      </c>
      <c r="C19" s="13"/>
      <c r="D19" s="13"/>
      <c r="E19" s="13"/>
      <c r="F19" s="13"/>
      <c r="G19" s="13"/>
      <c r="H19" s="13"/>
    </row>
    <row r="20" spans="1:8" ht="45" customHeight="1" x14ac:dyDescent="0.25">
      <c r="A20" s="14" t="s">
        <v>412</v>
      </c>
      <c r="B20" s="14" t="s">
        <v>413</v>
      </c>
      <c r="C20" s="15" t="s">
        <v>414</v>
      </c>
      <c r="D20" s="16" t="s">
        <v>415</v>
      </c>
      <c r="E20" s="22">
        <v>1</v>
      </c>
      <c r="F20" s="18" t="s">
        <v>120</v>
      </c>
      <c r="G20" s="16" t="s">
        <v>416</v>
      </c>
      <c r="H20" s="16" t="s">
        <v>417</v>
      </c>
    </row>
    <row r="21" spans="1:8" ht="45" x14ac:dyDescent="0.25">
      <c r="A21" s="19" t="s">
        <v>412</v>
      </c>
      <c r="B21" s="19" t="s">
        <v>413</v>
      </c>
      <c r="C21" s="20" t="s">
        <v>418</v>
      </c>
      <c r="D21" s="21" t="s">
        <v>419</v>
      </c>
      <c r="E21" s="22">
        <v>1</v>
      </c>
      <c r="F21" s="18" t="s">
        <v>93</v>
      </c>
      <c r="G21" s="21" t="s">
        <v>1160</v>
      </c>
      <c r="H21" s="21" t="s">
        <v>1161</v>
      </c>
    </row>
    <row r="22" spans="1:8" ht="105" customHeight="1" x14ac:dyDescent="0.25">
      <c r="A22" s="14" t="s">
        <v>412</v>
      </c>
      <c r="B22" s="14" t="s">
        <v>413</v>
      </c>
      <c r="C22" s="15" t="s">
        <v>420</v>
      </c>
      <c r="D22" s="16" t="s">
        <v>421</v>
      </c>
      <c r="E22" s="17">
        <v>2</v>
      </c>
      <c r="F22" s="18" t="s">
        <v>120</v>
      </c>
      <c r="G22" s="16" t="s">
        <v>1162</v>
      </c>
      <c r="H22" s="16" t="s">
        <v>1163</v>
      </c>
    </row>
    <row r="23" spans="1:8" ht="45" customHeight="1" x14ac:dyDescent="0.25">
      <c r="A23" s="19" t="s">
        <v>412</v>
      </c>
      <c r="B23" s="19" t="s">
        <v>413</v>
      </c>
      <c r="C23" s="20" t="s">
        <v>422</v>
      </c>
      <c r="D23" s="21" t="s">
        <v>423</v>
      </c>
      <c r="E23" s="17">
        <v>2</v>
      </c>
      <c r="F23" s="18" t="s">
        <v>12</v>
      </c>
      <c r="G23" s="21" t="s">
        <v>424</v>
      </c>
      <c r="H23" s="21" t="s">
        <v>425</v>
      </c>
    </row>
    <row r="24" spans="1:8" ht="60" customHeight="1" x14ac:dyDescent="0.25">
      <c r="A24" s="14" t="s">
        <v>412</v>
      </c>
      <c r="B24" s="14" t="s">
        <v>413</v>
      </c>
      <c r="C24" s="15" t="s">
        <v>426</v>
      </c>
      <c r="D24" s="16" t="s">
        <v>427</v>
      </c>
      <c r="E24" s="23">
        <v>3</v>
      </c>
      <c r="F24" s="18" t="s">
        <v>120</v>
      </c>
      <c r="G24" s="16" t="s">
        <v>428</v>
      </c>
      <c r="H24" s="16" t="s">
        <v>218</v>
      </c>
    </row>
    <row r="25" spans="1:8" ht="45" x14ac:dyDescent="0.25">
      <c r="A25" s="19" t="s">
        <v>412</v>
      </c>
      <c r="B25" s="19" t="s">
        <v>413</v>
      </c>
      <c r="C25" s="20" t="s">
        <v>429</v>
      </c>
      <c r="D25" s="21" t="s">
        <v>430</v>
      </c>
      <c r="E25" s="23">
        <v>3</v>
      </c>
      <c r="F25" s="18" t="s">
        <v>178</v>
      </c>
      <c r="G25" s="21" t="s">
        <v>1164</v>
      </c>
      <c r="H25" s="21" t="s">
        <v>1165</v>
      </c>
    </row>
    <row r="26" spans="1:8" ht="45" customHeight="1" x14ac:dyDescent="0.25">
      <c r="A26" s="14" t="s">
        <v>412</v>
      </c>
      <c r="B26" s="14" t="s">
        <v>413</v>
      </c>
      <c r="C26" s="15" t="s">
        <v>432</v>
      </c>
      <c r="D26" s="16" t="s">
        <v>433</v>
      </c>
      <c r="E26" s="23">
        <v>3</v>
      </c>
      <c r="F26" s="18" t="s">
        <v>120</v>
      </c>
      <c r="G26" s="16" t="s">
        <v>428</v>
      </c>
      <c r="H26" s="16" t="s">
        <v>218</v>
      </c>
    </row>
    <row r="27" spans="1:8" ht="45" customHeight="1" x14ac:dyDescent="0.25">
      <c r="A27" s="19" t="s">
        <v>412</v>
      </c>
      <c r="B27" s="19" t="s">
        <v>413</v>
      </c>
      <c r="C27" s="20" t="s">
        <v>434</v>
      </c>
      <c r="D27" s="21" t="s">
        <v>435</v>
      </c>
      <c r="E27" s="23">
        <v>3</v>
      </c>
      <c r="F27" s="18" t="s">
        <v>93</v>
      </c>
      <c r="G27" s="21" t="s">
        <v>1166</v>
      </c>
      <c r="H27" s="21" t="s">
        <v>1167</v>
      </c>
    </row>
    <row r="28" spans="1:8" ht="18" customHeight="1" x14ac:dyDescent="0.25">
      <c r="A28" s="13" t="s">
        <v>436</v>
      </c>
      <c r="B28" s="13" t="s">
        <v>437</v>
      </c>
      <c r="C28" s="13"/>
      <c r="D28" s="13"/>
      <c r="E28" s="13"/>
      <c r="F28" s="13"/>
      <c r="G28" s="13"/>
      <c r="H28" s="13"/>
    </row>
    <row r="29" spans="1:8" ht="63" customHeight="1" x14ac:dyDescent="0.25">
      <c r="A29" s="14" t="s">
        <v>436</v>
      </c>
      <c r="B29" s="14" t="s">
        <v>437</v>
      </c>
      <c r="C29" s="15" t="s">
        <v>438</v>
      </c>
      <c r="D29" s="16" t="s">
        <v>439</v>
      </c>
      <c r="E29" s="22">
        <v>1</v>
      </c>
      <c r="F29" s="18" t="s">
        <v>12</v>
      </c>
      <c r="G29" s="16" t="s">
        <v>1168</v>
      </c>
      <c r="H29" s="16" t="s">
        <v>1169</v>
      </c>
    </row>
    <row r="30" spans="1:8" ht="30" customHeight="1" x14ac:dyDescent="0.25">
      <c r="A30" s="19" t="s">
        <v>436</v>
      </c>
      <c r="B30" s="19" t="s">
        <v>437</v>
      </c>
      <c r="C30" s="20" t="s">
        <v>440</v>
      </c>
      <c r="D30" s="21" t="s">
        <v>441</v>
      </c>
      <c r="E30" s="22">
        <v>1</v>
      </c>
      <c r="F30" s="18" t="s">
        <v>12</v>
      </c>
      <c r="G30" s="21" t="s">
        <v>442</v>
      </c>
      <c r="H30" s="21" t="s">
        <v>431</v>
      </c>
    </row>
    <row r="31" spans="1:8" ht="30" customHeight="1" x14ac:dyDescent="0.25">
      <c r="A31" s="14" t="s">
        <v>436</v>
      </c>
      <c r="B31" s="14" t="s">
        <v>437</v>
      </c>
      <c r="C31" s="15" t="s">
        <v>443</v>
      </c>
      <c r="D31" s="16" t="s">
        <v>444</v>
      </c>
      <c r="E31" s="17">
        <v>2</v>
      </c>
      <c r="F31" s="18" t="s">
        <v>120</v>
      </c>
      <c r="G31" s="16" t="s">
        <v>445</v>
      </c>
      <c r="H31" s="16" t="s">
        <v>218</v>
      </c>
    </row>
    <row r="32" spans="1:8" ht="30" customHeight="1" x14ac:dyDescent="0.25">
      <c r="A32" s="19" t="s">
        <v>436</v>
      </c>
      <c r="B32" s="19" t="s">
        <v>437</v>
      </c>
      <c r="C32" s="20" t="s">
        <v>446</v>
      </c>
      <c r="D32" s="21" t="s">
        <v>447</v>
      </c>
      <c r="E32" s="17">
        <v>2</v>
      </c>
      <c r="F32" s="18" t="s">
        <v>12</v>
      </c>
      <c r="G32" s="21" t="s">
        <v>448</v>
      </c>
      <c r="H32" s="21" t="s">
        <v>431</v>
      </c>
    </row>
    <row r="33" spans="1:8" ht="45" customHeight="1" x14ac:dyDescent="0.25">
      <c r="A33" s="14" t="s">
        <v>436</v>
      </c>
      <c r="B33" s="14" t="s">
        <v>437</v>
      </c>
      <c r="C33" s="15" t="s">
        <v>449</v>
      </c>
      <c r="D33" s="16" t="s">
        <v>450</v>
      </c>
      <c r="E33" s="23">
        <v>3</v>
      </c>
      <c r="F33" s="18" t="s">
        <v>12</v>
      </c>
      <c r="G33" s="16" t="s">
        <v>448</v>
      </c>
      <c r="H33" s="16" t="s">
        <v>218</v>
      </c>
    </row>
    <row r="34" spans="1:8" ht="45" customHeight="1" x14ac:dyDescent="0.25">
      <c r="A34" s="19" t="s">
        <v>436</v>
      </c>
      <c r="B34" s="19" t="s">
        <v>437</v>
      </c>
      <c r="C34" s="20" t="s">
        <v>451</v>
      </c>
      <c r="D34" s="21" t="s">
        <v>452</v>
      </c>
      <c r="E34" s="23">
        <v>3</v>
      </c>
      <c r="F34" s="18" t="s">
        <v>120</v>
      </c>
      <c r="G34" s="21" t="s">
        <v>445</v>
      </c>
      <c r="H34" s="21" t="s">
        <v>218</v>
      </c>
    </row>
    <row r="35" spans="1:8" ht="18" customHeight="1" x14ac:dyDescent="0.25">
      <c r="A35" s="13" t="s">
        <v>453</v>
      </c>
      <c r="B35" s="13" t="s">
        <v>454</v>
      </c>
      <c r="C35" s="13"/>
      <c r="D35" s="13"/>
      <c r="E35" s="13"/>
      <c r="F35" s="13"/>
      <c r="G35" s="13"/>
      <c r="H35" s="13"/>
    </row>
    <row r="36" spans="1:8" ht="30" customHeight="1" x14ac:dyDescent="0.25">
      <c r="A36" s="14" t="s">
        <v>453</v>
      </c>
      <c r="B36" s="14" t="s">
        <v>454</v>
      </c>
      <c r="C36" s="15" t="s">
        <v>455</v>
      </c>
      <c r="D36" s="16" t="s">
        <v>456</v>
      </c>
      <c r="E36" s="17">
        <v>2</v>
      </c>
      <c r="F36" s="18" t="s">
        <v>12</v>
      </c>
      <c r="G36" s="16" t="s">
        <v>457</v>
      </c>
      <c r="H36" s="16" t="s">
        <v>458</v>
      </c>
    </row>
    <row r="37" spans="1:8" ht="60" customHeight="1" x14ac:dyDescent="0.25">
      <c r="A37" s="19" t="s">
        <v>453</v>
      </c>
      <c r="B37" s="19" t="s">
        <v>454</v>
      </c>
      <c r="C37" s="20" t="s">
        <v>459</v>
      </c>
      <c r="D37" s="21" t="s">
        <v>460</v>
      </c>
      <c r="E37" s="17">
        <v>2</v>
      </c>
      <c r="F37" s="18" t="s">
        <v>12</v>
      </c>
      <c r="G37" s="21" t="s">
        <v>457</v>
      </c>
      <c r="H37" s="21" t="s">
        <v>458</v>
      </c>
    </row>
    <row r="38" spans="1:8" ht="45" customHeight="1" x14ac:dyDescent="0.25">
      <c r="A38" s="14" t="s">
        <v>453</v>
      </c>
      <c r="B38" s="14" t="s">
        <v>454</v>
      </c>
      <c r="C38" s="15" t="s">
        <v>461</v>
      </c>
      <c r="D38" s="16" t="s">
        <v>462</v>
      </c>
      <c r="E38" s="17">
        <v>2</v>
      </c>
      <c r="F38" s="18" t="s">
        <v>12</v>
      </c>
      <c r="G38" s="16" t="s">
        <v>457</v>
      </c>
      <c r="H38" s="16" t="s">
        <v>458</v>
      </c>
    </row>
    <row r="39" spans="1:8" ht="30" customHeight="1" x14ac:dyDescent="0.25">
      <c r="A39" s="19" t="s">
        <v>453</v>
      </c>
      <c r="B39" s="19" t="s">
        <v>454</v>
      </c>
      <c r="C39" s="20" t="s">
        <v>463</v>
      </c>
      <c r="D39" s="21" t="s">
        <v>464</v>
      </c>
      <c r="E39" s="17">
        <v>2</v>
      </c>
      <c r="F39" s="18" t="s">
        <v>12</v>
      </c>
      <c r="G39" s="21" t="s">
        <v>457</v>
      </c>
      <c r="H39" s="21" t="s">
        <v>458</v>
      </c>
    </row>
    <row r="40" spans="1:8" ht="45" customHeight="1" x14ac:dyDescent="0.25">
      <c r="A40" s="14" t="s">
        <v>453</v>
      </c>
      <c r="B40" s="14" t="s">
        <v>454</v>
      </c>
      <c r="C40" s="15" t="s">
        <v>465</v>
      </c>
      <c r="D40" s="16" t="s">
        <v>466</v>
      </c>
      <c r="E40" s="17">
        <v>2</v>
      </c>
      <c r="F40" s="18" t="s">
        <v>12</v>
      </c>
      <c r="G40" s="16" t="s">
        <v>457</v>
      </c>
      <c r="H40" s="16" t="s">
        <v>458</v>
      </c>
    </row>
    <row r="41" spans="1:8" ht="30" customHeight="1" x14ac:dyDescent="0.25">
      <c r="A41" s="19" t="s">
        <v>453</v>
      </c>
      <c r="B41" s="19" t="s">
        <v>454</v>
      </c>
      <c r="C41" s="20" t="s">
        <v>467</v>
      </c>
      <c r="D41" s="21" t="s">
        <v>468</v>
      </c>
      <c r="E41" s="23">
        <v>3</v>
      </c>
      <c r="F41" s="18" t="s">
        <v>12</v>
      </c>
      <c r="G41" s="21" t="s">
        <v>457</v>
      </c>
      <c r="H41" s="21" t="s">
        <v>458</v>
      </c>
    </row>
    <row r="42" spans="1:8" ht="30" customHeight="1" x14ac:dyDescent="0.25">
      <c r="A42" s="14" t="s">
        <v>453</v>
      </c>
      <c r="B42" s="14" t="s">
        <v>454</v>
      </c>
      <c r="C42" s="15" t="s">
        <v>469</v>
      </c>
      <c r="D42" s="16" t="s">
        <v>470</v>
      </c>
      <c r="E42" s="23">
        <v>3</v>
      </c>
      <c r="F42" s="18" t="s">
        <v>12</v>
      </c>
      <c r="G42" s="16" t="s">
        <v>457</v>
      </c>
      <c r="H42" s="16" t="s">
        <v>458</v>
      </c>
    </row>
    <row r="43" spans="1:8" ht="30" customHeight="1" x14ac:dyDescent="0.25">
      <c r="A43" s="19" t="s">
        <v>453</v>
      </c>
      <c r="B43" s="19" t="s">
        <v>454</v>
      </c>
      <c r="C43" s="20" t="s">
        <v>471</v>
      </c>
      <c r="D43" s="21" t="s">
        <v>472</v>
      </c>
      <c r="E43" s="23">
        <v>3</v>
      </c>
      <c r="F43" s="18" t="s">
        <v>12</v>
      </c>
      <c r="G43" s="21" t="s">
        <v>457</v>
      </c>
      <c r="H43" s="21" t="s">
        <v>458</v>
      </c>
    </row>
    <row r="44" spans="1:8" ht="18" customHeight="1" x14ac:dyDescent="0.25">
      <c r="A44" s="13" t="s">
        <v>473</v>
      </c>
      <c r="B44" s="13" t="s">
        <v>474</v>
      </c>
      <c r="C44" s="13"/>
      <c r="D44" s="13"/>
      <c r="E44" s="13"/>
      <c r="F44" s="13"/>
      <c r="G44" s="13"/>
      <c r="H44" s="13"/>
    </row>
    <row r="45" spans="1:8" ht="75" customHeight="1" x14ac:dyDescent="0.25">
      <c r="A45" s="14" t="s">
        <v>473</v>
      </c>
      <c r="B45" s="14" t="s">
        <v>474</v>
      </c>
      <c r="C45" s="15" t="s">
        <v>475</v>
      </c>
      <c r="D45" s="16" t="s">
        <v>476</v>
      </c>
      <c r="E45" s="17">
        <v>2</v>
      </c>
      <c r="F45" s="18" t="s">
        <v>12</v>
      </c>
      <c r="G45" s="16" t="s">
        <v>457</v>
      </c>
      <c r="H45" s="16" t="s">
        <v>458</v>
      </c>
    </row>
    <row r="46" spans="1:8" ht="45" customHeight="1" x14ac:dyDescent="0.25">
      <c r="A46" s="19" t="s">
        <v>473</v>
      </c>
      <c r="B46" s="19" t="s">
        <v>474</v>
      </c>
      <c r="C46" s="20" t="s">
        <v>477</v>
      </c>
      <c r="D46" s="21" t="s">
        <v>478</v>
      </c>
      <c r="E46" s="17">
        <v>2</v>
      </c>
      <c r="F46" s="18" t="s">
        <v>12</v>
      </c>
      <c r="G46" s="21" t="s">
        <v>457</v>
      </c>
      <c r="H46" s="21" t="s">
        <v>458</v>
      </c>
    </row>
    <row r="47" spans="1:8" ht="30" customHeight="1" x14ac:dyDescent="0.25">
      <c r="A47" s="14" t="s">
        <v>473</v>
      </c>
      <c r="B47" s="14" t="s">
        <v>474</v>
      </c>
      <c r="C47" s="15" t="s">
        <v>479</v>
      </c>
      <c r="D47" s="16" t="s">
        <v>480</v>
      </c>
      <c r="E47" s="17">
        <v>2</v>
      </c>
      <c r="F47" s="18" t="s">
        <v>12</v>
      </c>
      <c r="G47" s="16" t="s">
        <v>457</v>
      </c>
      <c r="H47" s="16" t="s">
        <v>458</v>
      </c>
    </row>
    <row r="48" spans="1:8" ht="30" customHeight="1" x14ac:dyDescent="0.25">
      <c r="A48" s="19" t="s">
        <v>473</v>
      </c>
      <c r="B48" s="19" t="s">
        <v>474</v>
      </c>
      <c r="C48" s="20" t="s">
        <v>481</v>
      </c>
      <c r="D48" s="21" t="s">
        <v>482</v>
      </c>
      <c r="E48" s="23">
        <v>3</v>
      </c>
      <c r="F48" s="18" t="s">
        <v>12</v>
      </c>
      <c r="G48" s="21" t="s">
        <v>457</v>
      </c>
      <c r="H48" s="21" t="s">
        <v>458</v>
      </c>
    </row>
    <row r="49" spans="1:8" ht="18" customHeight="1" x14ac:dyDescent="0.25">
      <c r="A49" s="13" t="s">
        <v>483</v>
      </c>
      <c r="B49" s="13" t="s">
        <v>484</v>
      </c>
      <c r="C49" s="13"/>
      <c r="D49" s="13"/>
      <c r="E49" s="13"/>
      <c r="F49" s="13"/>
      <c r="G49" s="13"/>
      <c r="H49" s="13"/>
    </row>
    <row r="50" spans="1:8" ht="30" customHeight="1" x14ac:dyDescent="0.25">
      <c r="A50" s="14" t="s">
        <v>483</v>
      </c>
      <c r="B50" s="14" t="s">
        <v>484</v>
      </c>
      <c r="C50" s="15" t="s">
        <v>485</v>
      </c>
      <c r="D50" s="16" t="s">
        <v>486</v>
      </c>
      <c r="E50" s="23">
        <v>3</v>
      </c>
      <c r="F50" s="18" t="s">
        <v>12</v>
      </c>
      <c r="G50" s="16" t="s">
        <v>457</v>
      </c>
      <c r="H50" s="16" t="s">
        <v>458</v>
      </c>
    </row>
    <row r="51" spans="1:8" ht="30" customHeight="1" x14ac:dyDescent="0.25">
      <c r="A51" s="19" t="s">
        <v>483</v>
      </c>
      <c r="B51" s="19" t="s">
        <v>484</v>
      </c>
      <c r="C51" s="20" t="s">
        <v>487</v>
      </c>
      <c r="D51" s="21" t="s">
        <v>488</v>
      </c>
      <c r="E51" s="23">
        <v>3</v>
      </c>
      <c r="F51" s="18" t="s">
        <v>12</v>
      </c>
      <c r="G51" s="21" t="s">
        <v>457</v>
      </c>
      <c r="H51" s="21" t="s">
        <v>458</v>
      </c>
    </row>
    <row r="52" spans="1:8" ht="18" customHeight="1" x14ac:dyDescent="0.25">
      <c r="A52" s="13" t="s">
        <v>489</v>
      </c>
      <c r="B52" s="13" t="s">
        <v>490</v>
      </c>
      <c r="C52" s="13"/>
      <c r="D52" s="13"/>
      <c r="E52" s="13"/>
      <c r="F52" s="13"/>
      <c r="G52" s="13"/>
      <c r="H52" s="13"/>
    </row>
    <row r="53" spans="1:8" ht="60" customHeight="1" x14ac:dyDescent="0.25">
      <c r="A53" s="14" t="s">
        <v>489</v>
      </c>
      <c r="B53" s="14" t="s">
        <v>490</v>
      </c>
      <c r="C53" s="15" t="s">
        <v>491</v>
      </c>
      <c r="D53" s="16" t="s">
        <v>492</v>
      </c>
      <c r="E53" s="17">
        <v>2</v>
      </c>
      <c r="F53" s="18" t="s">
        <v>12</v>
      </c>
      <c r="G53" s="16" t="s">
        <v>457</v>
      </c>
      <c r="H53" s="16" t="s">
        <v>458</v>
      </c>
    </row>
    <row r="54" spans="1:8" ht="60" x14ac:dyDescent="0.25">
      <c r="A54" s="19" t="s">
        <v>489</v>
      </c>
      <c r="B54" s="19" t="s">
        <v>490</v>
      </c>
      <c r="C54" s="20" t="s">
        <v>493</v>
      </c>
      <c r="D54" s="21" t="s">
        <v>494</v>
      </c>
      <c r="E54" s="17">
        <v>2</v>
      </c>
      <c r="F54" s="18" t="s">
        <v>93</v>
      </c>
      <c r="G54" s="21" t="s">
        <v>1170</v>
      </c>
      <c r="H54" s="21" t="s">
        <v>1171</v>
      </c>
    </row>
    <row r="55" spans="1:8" ht="30" customHeight="1" x14ac:dyDescent="0.25">
      <c r="A55" s="14" t="s">
        <v>489</v>
      </c>
      <c r="B55" s="14" t="s">
        <v>490</v>
      </c>
      <c r="C55" s="15" t="s">
        <v>495</v>
      </c>
      <c r="D55" s="16" t="s">
        <v>496</v>
      </c>
      <c r="E55" s="17">
        <v>2</v>
      </c>
      <c r="F55" s="18" t="s">
        <v>12</v>
      </c>
      <c r="G55" s="16" t="s">
        <v>457</v>
      </c>
      <c r="H55" s="16" t="s">
        <v>458</v>
      </c>
    </row>
    <row r="56" spans="1:8" ht="105" customHeight="1" x14ac:dyDescent="0.25">
      <c r="A56" s="19" t="s">
        <v>489</v>
      </c>
      <c r="B56" s="19" t="s">
        <v>490</v>
      </c>
      <c r="C56" s="20" t="s">
        <v>497</v>
      </c>
      <c r="D56" s="21" t="s">
        <v>498</v>
      </c>
      <c r="E56" s="17">
        <v>2</v>
      </c>
      <c r="F56" s="18" t="s">
        <v>12</v>
      </c>
      <c r="G56" s="21" t="s">
        <v>457</v>
      </c>
      <c r="H56" s="21" t="s">
        <v>458</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700-000000000000}">
      <formula1>"Not Started,In Progress,Compliant,Not Applicable"</formula1>
      <formula2>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topLeftCell="A16" zoomScale="70" zoomScaleNormal="70" workbookViewId="0">
      <selection activeCell="H18" sqref="H18"/>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499</v>
      </c>
      <c r="B2" s="13" t="s">
        <v>500</v>
      </c>
      <c r="C2" s="13"/>
      <c r="D2" s="13"/>
      <c r="E2" s="13"/>
      <c r="F2" s="13"/>
      <c r="G2" s="13"/>
      <c r="H2" s="13"/>
    </row>
    <row r="3" spans="1:8" ht="75" customHeight="1" x14ac:dyDescent="0.25">
      <c r="A3" s="14" t="s">
        <v>499</v>
      </c>
      <c r="B3" s="14" t="s">
        <v>500</v>
      </c>
      <c r="C3" s="15" t="s">
        <v>501</v>
      </c>
      <c r="D3" s="16" t="s">
        <v>502</v>
      </c>
      <c r="E3" s="17">
        <v>2</v>
      </c>
      <c r="F3" s="18" t="s">
        <v>93</v>
      </c>
      <c r="G3" s="16" t="s">
        <v>503</v>
      </c>
      <c r="H3" s="16" t="s">
        <v>1175</v>
      </c>
    </row>
    <row r="4" spans="1:8" ht="60" customHeight="1" x14ac:dyDescent="0.25">
      <c r="A4" s="19" t="s">
        <v>499</v>
      </c>
      <c r="B4" s="19" t="s">
        <v>500</v>
      </c>
      <c r="C4" s="20" t="s">
        <v>504</v>
      </c>
      <c r="D4" s="21" t="s">
        <v>505</v>
      </c>
      <c r="E4" s="17">
        <v>2</v>
      </c>
      <c r="F4" s="18" t="s">
        <v>120</v>
      </c>
      <c r="G4" s="21" t="s">
        <v>506</v>
      </c>
      <c r="H4" s="21" t="s">
        <v>218</v>
      </c>
    </row>
    <row r="5" spans="1:8" ht="75" customHeight="1" x14ac:dyDescent="0.25">
      <c r="A5" s="14" t="s">
        <v>499</v>
      </c>
      <c r="B5" s="14" t="s">
        <v>500</v>
      </c>
      <c r="C5" s="15" t="s">
        <v>507</v>
      </c>
      <c r="D5" s="16" t="s">
        <v>508</v>
      </c>
      <c r="E5" s="17">
        <v>2</v>
      </c>
      <c r="F5" s="18" t="s">
        <v>12</v>
      </c>
      <c r="G5" s="16" t="s">
        <v>509</v>
      </c>
      <c r="H5" s="16" t="s">
        <v>510</v>
      </c>
    </row>
    <row r="6" spans="1:8" ht="18" customHeight="1" x14ac:dyDescent="0.25">
      <c r="A6" s="13" t="s">
        <v>511</v>
      </c>
      <c r="B6" s="13" t="s">
        <v>512</v>
      </c>
      <c r="C6" s="13"/>
      <c r="D6" s="13"/>
      <c r="E6" s="13"/>
      <c r="F6" s="13"/>
      <c r="G6" s="13"/>
      <c r="H6" s="13"/>
    </row>
    <row r="7" spans="1:8" ht="75" x14ac:dyDescent="0.25">
      <c r="A7" s="14" t="s">
        <v>511</v>
      </c>
      <c r="B7" s="14" t="s">
        <v>512</v>
      </c>
      <c r="C7" s="15" t="s">
        <v>513</v>
      </c>
      <c r="D7" s="16" t="s">
        <v>514</v>
      </c>
      <c r="E7" s="22">
        <v>1</v>
      </c>
      <c r="F7" s="18" t="s">
        <v>93</v>
      </c>
      <c r="G7" s="16" t="s">
        <v>1172</v>
      </c>
      <c r="H7" s="16" t="s">
        <v>1173</v>
      </c>
    </row>
    <row r="8" spans="1:8" ht="60" x14ac:dyDescent="0.25">
      <c r="A8" s="19" t="s">
        <v>511</v>
      </c>
      <c r="B8" s="19" t="s">
        <v>512</v>
      </c>
      <c r="C8" s="20" t="s">
        <v>515</v>
      </c>
      <c r="D8" s="21" t="s">
        <v>516</v>
      </c>
      <c r="E8" s="22">
        <v>1</v>
      </c>
      <c r="F8" s="27" t="s">
        <v>178</v>
      </c>
      <c r="G8" s="21" t="s">
        <v>1176</v>
      </c>
      <c r="H8" s="21" t="s">
        <v>1174</v>
      </c>
    </row>
    <row r="9" spans="1:8" ht="60" customHeight="1" x14ac:dyDescent="0.25">
      <c r="A9" s="14" t="s">
        <v>511</v>
      </c>
      <c r="B9" s="14" t="s">
        <v>512</v>
      </c>
      <c r="C9" s="15" t="s">
        <v>517</v>
      </c>
      <c r="D9" s="16" t="s">
        <v>518</v>
      </c>
      <c r="E9" s="22">
        <v>1</v>
      </c>
      <c r="F9" s="18" t="s">
        <v>12</v>
      </c>
      <c r="G9" s="16" t="s">
        <v>1177</v>
      </c>
      <c r="H9" s="16" t="s">
        <v>1178</v>
      </c>
    </row>
    <row r="10" spans="1:8" ht="60" x14ac:dyDescent="0.25">
      <c r="A10" s="19" t="s">
        <v>511</v>
      </c>
      <c r="B10" s="19" t="s">
        <v>512</v>
      </c>
      <c r="C10" s="20" t="s">
        <v>519</v>
      </c>
      <c r="D10" s="21" t="s">
        <v>520</v>
      </c>
      <c r="E10" s="22">
        <v>1</v>
      </c>
      <c r="F10" s="18" t="s">
        <v>93</v>
      </c>
      <c r="G10" s="21" t="s">
        <v>1179</v>
      </c>
      <c r="H10" s="21" t="s">
        <v>1180</v>
      </c>
    </row>
    <row r="11" spans="1:8" ht="18" customHeight="1" x14ac:dyDescent="0.25">
      <c r="A11" s="13" t="s">
        <v>521</v>
      </c>
      <c r="B11" s="13" t="s">
        <v>522</v>
      </c>
      <c r="C11" s="13"/>
      <c r="D11" s="13"/>
      <c r="E11" s="13"/>
      <c r="F11" s="13"/>
      <c r="G11" s="13"/>
      <c r="H11" s="13"/>
    </row>
    <row r="12" spans="1:8" ht="45" customHeight="1" x14ac:dyDescent="0.25">
      <c r="A12" s="14" t="s">
        <v>521</v>
      </c>
      <c r="B12" s="14" t="s">
        <v>522</v>
      </c>
      <c r="C12" s="15" t="s">
        <v>523</v>
      </c>
      <c r="D12" s="16" t="s">
        <v>524</v>
      </c>
      <c r="E12" s="17">
        <v>2</v>
      </c>
      <c r="F12" s="18" t="s">
        <v>120</v>
      </c>
      <c r="G12" s="16" t="s">
        <v>1181</v>
      </c>
      <c r="H12" s="16" t="s">
        <v>1089</v>
      </c>
    </row>
    <row r="13" spans="1:8" ht="60" x14ac:dyDescent="0.25">
      <c r="A13" s="19" t="s">
        <v>521</v>
      </c>
      <c r="B13" s="19" t="s">
        <v>522</v>
      </c>
      <c r="C13" s="20" t="s">
        <v>525</v>
      </c>
      <c r="D13" s="21" t="s">
        <v>526</v>
      </c>
      <c r="E13" s="17">
        <v>2</v>
      </c>
      <c r="F13" s="18" t="s">
        <v>93</v>
      </c>
      <c r="G13" s="21" t="s">
        <v>1182</v>
      </c>
      <c r="H13" s="21" t="s">
        <v>1183</v>
      </c>
    </row>
    <row r="14" spans="1:8" ht="18" customHeight="1" x14ac:dyDescent="0.25">
      <c r="A14" s="13" t="s">
        <v>527</v>
      </c>
      <c r="B14" s="13" t="s">
        <v>528</v>
      </c>
      <c r="C14" s="13"/>
      <c r="D14" s="13"/>
      <c r="E14" s="13"/>
      <c r="F14" s="13"/>
      <c r="G14" s="13"/>
      <c r="H14" s="13"/>
    </row>
    <row r="15" spans="1:8" ht="120" customHeight="1" x14ac:dyDescent="0.25">
      <c r="A15" s="14" t="s">
        <v>527</v>
      </c>
      <c r="B15" s="14" t="s">
        <v>528</v>
      </c>
      <c r="C15" s="15" t="s">
        <v>529</v>
      </c>
      <c r="D15" s="16" t="s">
        <v>530</v>
      </c>
      <c r="E15" s="22">
        <v>1</v>
      </c>
      <c r="F15" s="18" t="s">
        <v>93</v>
      </c>
      <c r="G15" s="16" t="s">
        <v>1184</v>
      </c>
      <c r="H15" s="16" t="s">
        <v>1185</v>
      </c>
    </row>
    <row r="16" spans="1:8" ht="75" x14ac:dyDescent="0.25">
      <c r="A16" s="19" t="s">
        <v>527</v>
      </c>
      <c r="B16" s="19" t="s">
        <v>528</v>
      </c>
      <c r="C16" s="20" t="s">
        <v>531</v>
      </c>
      <c r="D16" s="21" t="s">
        <v>532</v>
      </c>
      <c r="E16" s="22">
        <v>1</v>
      </c>
      <c r="F16" s="18" t="s">
        <v>120</v>
      </c>
      <c r="G16" s="21" t="s">
        <v>1186</v>
      </c>
      <c r="H16" s="21" t="s">
        <v>1187</v>
      </c>
    </row>
    <row r="17" spans="1:8" ht="60" customHeight="1" x14ac:dyDescent="0.25">
      <c r="A17" s="14" t="s">
        <v>527</v>
      </c>
      <c r="B17" s="14" t="s">
        <v>528</v>
      </c>
      <c r="C17" s="15" t="s">
        <v>533</v>
      </c>
      <c r="D17" s="16" t="s">
        <v>534</v>
      </c>
      <c r="E17" s="17">
        <v>2</v>
      </c>
      <c r="F17" s="18" t="s">
        <v>120</v>
      </c>
      <c r="G17" s="16" t="s">
        <v>535</v>
      </c>
      <c r="H17" s="16" t="s">
        <v>218</v>
      </c>
    </row>
    <row r="18" spans="1:8" ht="60" x14ac:dyDescent="0.25">
      <c r="A18" s="19" t="s">
        <v>527</v>
      </c>
      <c r="B18" s="19" t="s">
        <v>528</v>
      </c>
      <c r="C18" s="20" t="s">
        <v>536</v>
      </c>
      <c r="D18" s="21" t="s">
        <v>537</v>
      </c>
      <c r="E18" s="17">
        <v>2</v>
      </c>
      <c r="F18" s="18" t="s">
        <v>178</v>
      </c>
      <c r="G18" s="21" t="s">
        <v>1188</v>
      </c>
      <c r="H18" s="21" t="s">
        <v>1154</v>
      </c>
    </row>
    <row r="19" spans="1:8" ht="45" customHeight="1" x14ac:dyDescent="0.25">
      <c r="A19" s="14" t="s">
        <v>527</v>
      </c>
      <c r="B19" s="14" t="s">
        <v>528</v>
      </c>
      <c r="C19" s="15" t="s">
        <v>538</v>
      </c>
      <c r="D19" s="16" t="s">
        <v>539</v>
      </c>
      <c r="E19" s="17">
        <v>2</v>
      </c>
      <c r="F19" s="18" t="s">
        <v>120</v>
      </c>
      <c r="G19" s="16" t="s">
        <v>540</v>
      </c>
      <c r="H19" s="16" t="s">
        <v>218</v>
      </c>
    </row>
    <row r="20" spans="1:8" ht="18" customHeight="1" x14ac:dyDescent="0.25">
      <c r="A20" s="13" t="s">
        <v>541</v>
      </c>
      <c r="B20" s="13" t="s">
        <v>542</v>
      </c>
      <c r="C20" s="13"/>
      <c r="D20" s="13"/>
      <c r="E20" s="13"/>
      <c r="F20" s="13"/>
      <c r="G20" s="13"/>
      <c r="H20" s="13"/>
    </row>
    <row r="21" spans="1:8" ht="60" customHeight="1" x14ac:dyDescent="0.25">
      <c r="A21" s="14" t="s">
        <v>541</v>
      </c>
      <c r="B21" s="14" t="s">
        <v>542</v>
      </c>
      <c r="C21" s="15" t="s">
        <v>543</v>
      </c>
      <c r="D21" s="16" t="s">
        <v>544</v>
      </c>
      <c r="E21" s="17">
        <v>2</v>
      </c>
      <c r="F21" s="18" t="s">
        <v>120</v>
      </c>
      <c r="G21" s="16" t="s">
        <v>545</v>
      </c>
      <c r="H21" s="16" t="s">
        <v>218</v>
      </c>
    </row>
    <row r="22" spans="1:8" ht="45" customHeight="1" x14ac:dyDescent="0.25">
      <c r="A22" s="19" t="s">
        <v>541</v>
      </c>
      <c r="B22" s="19" t="s">
        <v>542</v>
      </c>
      <c r="C22" s="20" t="s">
        <v>546</v>
      </c>
      <c r="D22" s="21" t="s">
        <v>547</v>
      </c>
      <c r="E22" s="17">
        <v>2</v>
      </c>
      <c r="F22" s="18" t="s">
        <v>120</v>
      </c>
      <c r="G22" s="21" t="s">
        <v>545</v>
      </c>
      <c r="H22" s="21" t="s">
        <v>218</v>
      </c>
    </row>
    <row r="23" spans="1:8" ht="45" customHeight="1" x14ac:dyDescent="0.25">
      <c r="A23" s="14" t="s">
        <v>541</v>
      </c>
      <c r="B23" s="14" t="s">
        <v>542</v>
      </c>
      <c r="C23" s="15" t="s">
        <v>548</v>
      </c>
      <c r="D23" s="16" t="s">
        <v>549</v>
      </c>
      <c r="E23" s="23">
        <v>3</v>
      </c>
      <c r="F23" s="18" t="s">
        <v>120</v>
      </c>
      <c r="G23" s="16" t="s">
        <v>545</v>
      </c>
      <c r="H23" s="16" t="s">
        <v>218</v>
      </c>
    </row>
    <row r="24" spans="1:8" ht="18" customHeight="1" x14ac:dyDescent="0.25">
      <c r="A24" s="13" t="s">
        <v>550</v>
      </c>
      <c r="B24" s="13" t="s">
        <v>551</v>
      </c>
      <c r="C24" s="13"/>
      <c r="D24" s="13"/>
      <c r="E24" s="13"/>
      <c r="F24" s="13"/>
      <c r="G24" s="13"/>
      <c r="H24" s="13"/>
    </row>
    <row r="25" spans="1:8" ht="75" customHeight="1" x14ac:dyDescent="0.25">
      <c r="A25" s="14" t="s">
        <v>550</v>
      </c>
      <c r="B25" s="14" t="s">
        <v>551</v>
      </c>
      <c r="C25" s="15" t="s">
        <v>552</v>
      </c>
      <c r="D25" s="16" t="s">
        <v>553</v>
      </c>
      <c r="E25" s="17">
        <v>2</v>
      </c>
      <c r="F25" s="18" t="s">
        <v>12</v>
      </c>
      <c r="G25" s="16" t="s">
        <v>509</v>
      </c>
      <c r="H25" s="16" t="s">
        <v>510</v>
      </c>
    </row>
    <row r="26" spans="1:8" ht="45" customHeight="1" x14ac:dyDescent="0.25">
      <c r="A26" s="19" t="s">
        <v>550</v>
      </c>
      <c r="B26" s="19" t="s">
        <v>551</v>
      </c>
      <c r="C26" s="20" t="s">
        <v>554</v>
      </c>
      <c r="D26" s="21" t="s">
        <v>555</v>
      </c>
      <c r="E26" s="17">
        <v>2</v>
      </c>
      <c r="F26" s="18" t="s">
        <v>12</v>
      </c>
      <c r="G26" s="21" t="s">
        <v>509</v>
      </c>
      <c r="H26" s="21" t="s">
        <v>510</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800-000000000000}">
      <formula1>"Not Started,In Progress,Compliant,Not Applicable"</formula1>
      <formula2>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zoomScale="80" zoomScaleNormal="80" workbookViewId="0">
      <selection activeCell="P20" sqref="P20"/>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556</v>
      </c>
      <c r="B2" s="13" t="s">
        <v>557</v>
      </c>
      <c r="C2" s="13"/>
      <c r="D2" s="13"/>
      <c r="E2" s="13"/>
      <c r="F2" s="13"/>
      <c r="G2" s="13"/>
      <c r="H2" s="13"/>
    </row>
    <row r="3" spans="1:8" ht="89.25" customHeight="1" x14ac:dyDescent="0.25">
      <c r="A3" s="14" t="s">
        <v>556</v>
      </c>
      <c r="B3" s="14" t="s">
        <v>557</v>
      </c>
      <c r="C3" s="15" t="s">
        <v>558</v>
      </c>
      <c r="D3" s="16" t="s">
        <v>559</v>
      </c>
      <c r="E3" s="22">
        <v>1</v>
      </c>
      <c r="F3" s="18" t="s">
        <v>93</v>
      </c>
      <c r="G3" s="16" t="s">
        <v>1189</v>
      </c>
      <c r="H3" s="16" t="s">
        <v>1190</v>
      </c>
    </row>
    <row r="4" spans="1:8" ht="91.5" customHeight="1" x14ac:dyDescent="0.25">
      <c r="A4" s="19" t="s">
        <v>556</v>
      </c>
      <c r="B4" s="19" t="s">
        <v>557</v>
      </c>
      <c r="C4" s="20" t="s">
        <v>560</v>
      </c>
      <c r="D4" s="21" t="s">
        <v>561</v>
      </c>
      <c r="E4" s="17">
        <v>2</v>
      </c>
      <c r="F4" s="18" t="s">
        <v>93</v>
      </c>
      <c r="G4" s="21" t="s">
        <v>1191</v>
      </c>
      <c r="H4" s="21" t="s">
        <v>1192</v>
      </c>
    </row>
    <row r="5" spans="1:8" ht="30" customHeight="1" x14ac:dyDescent="0.25">
      <c r="A5" s="14" t="s">
        <v>556</v>
      </c>
      <c r="B5" s="14" t="s">
        <v>557</v>
      </c>
      <c r="C5" s="15" t="s">
        <v>562</v>
      </c>
      <c r="D5" s="16" t="s">
        <v>563</v>
      </c>
      <c r="E5" s="23">
        <v>3</v>
      </c>
      <c r="F5" s="18" t="s">
        <v>12</v>
      </c>
      <c r="G5" s="16" t="s">
        <v>564</v>
      </c>
      <c r="H5" s="16" t="s">
        <v>565</v>
      </c>
    </row>
    <row r="6" spans="1:8" ht="30" customHeight="1" x14ac:dyDescent="0.25">
      <c r="A6" s="19" t="s">
        <v>556</v>
      </c>
      <c r="B6" s="19" t="s">
        <v>557</v>
      </c>
      <c r="C6" s="20" t="s">
        <v>566</v>
      </c>
      <c r="D6" s="21" t="s">
        <v>567</v>
      </c>
      <c r="E6" s="23">
        <v>3</v>
      </c>
      <c r="F6" s="18" t="s">
        <v>12</v>
      </c>
      <c r="G6" s="21" t="s">
        <v>564</v>
      </c>
      <c r="H6" s="21" t="s">
        <v>565</v>
      </c>
    </row>
    <row r="7" spans="1:8" ht="18" customHeight="1" x14ac:dyDescent="0.25">
      <c r="A7" s="13" t="s">
        <v>568</v>
      </c>
      <c r="B7" s="13" t="s">
        <v>569</v>
      </c>
      <c r="C7" s="13"/>
      <c r="D7" s="13"/>
      <c r="E7" s="13"/>
      <c r="F7" s="13"/>
      <c r="G7" s="13"/>
      <c r="H7" s="13"/>
    </row>
    <row r="8" spans="1:8" ht="78" customHeight="1" x14ac:dyDescent="0.25">
      <c r="A8" s="14" t="s">
        <v>568</v>
      </c>
      <c r="B8" s="14" t="s">
        <v>569</v>
      </c>
      <c r="C8" s="15" t="s">
        <v>570</v>
      </c>
      <c r="D8" s="16" t="s">
        <v>571</v>
      </c>
      <c r="E8" s="22">
        <v>1</v>
      </c>
      <c r="F8" s="18" t="s">
        <v>178</v>
      </c>
      <c r="G8" s="16" t="s">
        <v>1193</v>
      </c>
      <c r="H8" s="16" t="s">
        <v>1194</v>
      </c>
    </row>
    <row r="9" spans="1:8" ht="105" x14ac:dyDescent="0.25">
      <c r="A9" s="19" t="s">
        <v>568</v>
      </c>
      <c r="B9" s="19" t="s">
        <v>569</v>
      </c>
      <c r="C9" s="20" t="s">
        <v>572</v>
      </c>
      <c r="D9" s="21" t="s">
        <v>573</v>
      </c>
      <c r="E9" s="22">
        <v>1</v>
      </c>
      <c r="F9" s="18" t="s">
        <v>178</v>
      </c>
      <c r="G9" s="21" t="s">
        <v>1195</v>
      </c>
      <c r="H9" s="21" t="s">
        <v>1196</v>
      </c>
    </row>
    <row r="10" spans="1:8" ht="89.25" customHeight="1" x14ac:dyDescent="0.25">
      <c r="A10" s="14" t="s">
        <v>568</v>
      </c>
      <c r="B10" s="14" t="s">
        <v>569</v>
      </c>
      <c r="C10" s="15" t="s">
        <v>574</v>
      </c>
      <c r="D10" s="16" t="s">
        <v>575</v>
      </c>
      <c r="E10" s="17">
        <v>2</v>
      </c>
      <c r="F10" s="18" t="s">
        <v>93</v>
      </c>
      <c r="G10" s="16" t="s">
        <v>1197</v>
      </c>
      <c r="H10" s="16" t="s">
        <v>1198</v>
      </c>
    </row>
    <row r="11" spans="1:8" ht="30" customHeight="1" x14ac:dyDescent="0.25">
      <c r="A11" s="19" t="s">
        <v>568</v>
      </c>
      <c r="B11" s="19" t="s">
        <v>569</v>
      </c>
      <c r="C11" s="20" t="s">
        <v>576</v>
      </c>
      <c r="D11" s="21" t="s">
        <v>577</v>
      </c>
      <c r="E11" s="23">
        <v>3</v>
      </c>
      <c r="F11" s="18" t="s">
        <v>12</v>
      </c>
      <c r="G11" s="21" t="s">
        <v>564</v>
      </c>
      <c r="H11" s="21" t="s">
        <v>565</v>
      </c>
    </row>
    <row r="12" spans="1:8" ht="18" customHeight="1" x14ac:dyDescent="0.25">
      <c r="A12" s="13" t="s">
        <v>578</v>
      </c>
      <c r="B12" s="13" t="s">
        <v>579</v>
      </c>
      <c r="C12" s="13"/>
      <c r="D12" s="13"/>
      <c r="E12" s="13"/>
      <c r="F12" s="13"/>
      <c r="G12" s="13"/>
      <c r="H12" s="13"/>
    </row>
    <row r="13" spans="1:8" ht="75" x14ac:dyDescent="0.25">
      <c r="A13" s="14" t="s">
        <v>578</v>
      </c>
      <c r="B13" s="14" t="s">
        <v>579</v>
      </c>
      <c r="C13" s="15" t="s">
        <v>580</v>
      </c>
      <c r="D13" s="16" t="s">
        <v>581</v>
      </c>
      <c r="E13" s="22">
        <v>1</v>
      </c>
      <c r="F13" s="18" t="s">
        <v>178</v>
      </c>
      <c r="G13" s="16" t="s">
        <v>1199</v>
      </c>
      <c r="H13" s="16" t="s">
        <v>1200</v>
      </c>
    </row>
    <row r="14" spans="1:8" ht="105" customHeight="1" x14ac:dyDescent="0.25">
      <c r="A14" s="19" t="s">
        <v>578</v>
      </c>
      <c r="B14" s="19" t="s">
        <v>579</v>
      </c>
      <c r="C14" s="20" t="s">
        <v>582</v>
      </c>
      <c r="D14" s="21" t="s">
        <v>583</v>
      </c>
      <c r="E14" s="23">
        <v>3</v>
      </c>
      <c r="F14" s="18" t="s">
        <v>93</v>
      </c>
      <c r="G14" s="21" t="s">
        <v>1202</v>
      </c>
      <c r="H14" s="21" t="s">
        <v>1201</v>
      </c>
    </row>
    <row r="15" spans="1:8" ht="120" customHeight="1" x14ac:dyDescent="0.25">
      <c r="A15" s="14" t="s">
        <v>578</v>
      </c>
      <c r="B15" s="14" t="s">
        <v>579</v>
      </c>
      <c r="C15" s="15" t="s">
        <v>584</v>
      </c>
      <c r="D15" s="16" t="s">
        <v>585</v>
      </c>
      <c r="E15" s="23">
        <v>3</v>
      </c>
      <c r="F15" s="18" t="s">
        <v>178</v>
      </c>
      <c r="G15" s="16" t="s">
        <v>1203</v>
      </c>
      <c r="H15" s="16" t="s">
        <v>1204</v>
      </c>
    </row>
    <row r="16" spans="1:8" ht="18" customHeight="1" x14ac:dyDescent="0.25">
      <c r="A16" s="13" t="s">
        <v>586</v>
      </c>
      <c r="B16" s="13" t="s">
        <v>587</v>
      </c>
      <c r="C16" s="13"/>
      <c r="D16" s="13"/>
      <c r="E16" s="13"/>
      <c r="F16" s="13"/>
      <c r="G16" s="13"/>
      <c r="H16" s="13"/>
    </row>
    <row r="17" spans="1:8" ht="30" customHeight="1" x14ac:dyDescent="0.25">
      <c r="A17" s="14" t="s">
        <v>586</v>
      </c>
      <c r="B17" s="14" t="s">
        <v>587</v>
      </c>
      <c r="C17" s="15" t="s">
        <v>588</v>
      </c>
      <c r="D17" s="16" t="s">
        <v>589</v>
      </c>
      <c r="E17" s="17">
        <v>2</v>
      </c>
      <c r="F17" s="18" t="s">
        <v>12</v>
      </c>
      <c r="G17" s="16" t="s">
        <v>590</v>
      </c>
      <c r="H17" s="16" t="s">
        <v>591</v>
      </c>
    </row>
    <row r="18" spans="1:8" ht="90" customHeight="1" x14ac:dyDescent="0.25">
      <c r="A18" s="19" t="s">
        <v>586</v>
      </c>
      <c r="B18" s="19" t="s">
        <v>587</v>
      </c>
      <c r="C18" s="20" t="s">
        <v>592</v>
      </c>
      <c r="D18" s="21" t="s">
        <v>593</v>
      </c>
      <c r="E18" s="23">
        <v>3</v>
      </c>
      <c r="F18" s="18" t="s">
        <v>93</v>
      </c>
      <c r="G18" s="21" t="s">
        <v>1205</v>
      </c>
      <c r="H18" s="21" t="s">
        <v>1206</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900-000000000000}">
      <formula1>"Not Started,In Progress,Compliant,Not Applicable"</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
  <sheetViews>
    <sheetView topLeftCell="A3" workbookViewId="0">
      <selection activeCell="H9" sqref="H9:H10"/>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594</v>
      </c>
      <c r="B2" s="13" t="s">
        <v>595</v>
      </c>
      <c r="C2" s="13"/>
      <c r="D2" s="13"/>
      <c r="E2" s="13"/>
      <c r="F2" s="13"/>
      <c r="G2" s="13"/>
      <c r="H2" s="13"/>
    </row>
    <row r="3" spans="1:8" ht="90" x14ac:dyDescent="0.25">
      <c r="A3" s="14" t="s">
        <v>594</v>
      </c>
      <c r="B3" s="14" t="s">
        <v>595</v>
      </c>
      <c r="C3" s="15" t="s">
        <v>596</v>
      </c>
      <c r="D3" s="16" t="s">
        <v>597</v>
      </c>
      <c r="E3" s="22">
        <v>1</v>
      </c>
      <c r="F3" s="18" t="s">
        <v>93</v>
      </c>
      <c r="G3" s="16" t="s">
        <v>1207</v>
      </c>
      <c r="H3" s="16" t="s">
        <v>1208</v>
      </c>
    </row>
    <row r="4" spans="1:8" ht="105" x14ac:dyDescent="0.25">
      <c r="A4" s="19" t="s">
        <v>594</v>
      </c>
      <c r="B4" s="19" t="s">
        <v>595</v>
      </c>
      <c r="C4" s="20" t="s">
        <v>599</v>
      </c>
      <c r="D4" s="21" t="s">
        <v>600</v>
      </c>
      <c r="E4" s="22">
        <v>1</v>
      </c>
      <c r="F4" s="18" t="s">
        <v>93</v>
      </c>
      <c r="G4" s="16" t="s">
        <v>1209</v>
      </c>
      <c r="H4" s="16" t="s">
        <v>1210</v>
      </c>
    </row>
    <row r="5" spans="1:8" ht="90" x14ac:dyDescent="0.25">
      <c r="A5" s="14" t="s">
        <v>594</v>
      </c>
      <c r="B5" s="14" t="s">
        <v>595</v>
      </c>
      <c r="C5" s="15" t="s">
        <v>601</v>
      </c>
      <c r="D5" s="16" t="s">
        <v>602</v>
      </c>
      <c r="E5" s="22">
        <v>1</v>
      </c>
      <c r="F5" s="18" t="s">
        <v>178</v>
      </c>
      <c r="G5" s="16" t="s">
        <v>1211</v>
      </c>
      <c r="H5" s="16" t="s">
        <v>1183</v>
      </c>
    </row>
    <row r="6" spans="1:8" ht="18" customHeight="1" x14ac:dyDescent="0.25">
      <c r="A6" s="13" t="s">
        <v>603</v>
      </c>
      <c r="B6" s="13" t="s">
        <v>604</v>
      </c>
      <c r="C6" s="13"/>
      <c r="D6" s="13"/>
      <c r="E6" s="13"/>
      <c r="F6" s="13"/>
      <c r="G6" s="13"/>
      <c r="H6" s="13"/>
    </row>
    <row r="7" spans="1:8" ht="60" x14ac:dyDescent="0.25">
      <c r="A7" s="14" t="s">
        <v>603</v>
      </c>
      <c r="B7" s="14" t="s">
        <v>604</v>
      </c>
      <c r="C7" s="15" t="s">
        <v>605</v>
      </c>
      <c r="D7" s="16" t="s">
        <v>606</v>
      </c>
      <c r="E7" s="22">
        <v>1</v>
      </c>
      <c r="F7" s="18" t="s">
        <v>93</v>
      </c>
      <c r="G7" s="16" t="s">
        <v>1212</v>
      </c>
      <c r="H7" s="16" t="s">
        <v>1213</v>
      </c>
    </row>
    <row r="8" spans="1:8" ht="75" x14ac:dyDescent="0.25">
      <c r="A8" s="19" t="s">
        <v>603</v>
      </c>
      <c r="B8" s="19" t="s">
        <v>604</v>
      </c>
      <c r="C8" s="20" t="s">
        <v>607</v>
      </c>
      <c r="D8" s="21" t="s">
        <v>608</v>
      </c>
      <c r="E8" s="17">
        <v>2</v>
      </c>
      <c r="F8" s="18" t="s">
        <v>120</v>
      </c>
      <c r="G8" s="16" t="s">
        <v>1214</v>
      </c>
      <c r="H8" s="16" t="s">
        <v>1215</v>
      </c>
    </row>
    <row r="9" spans="1:8" ht="60" x14ac:dyDescent="0.25">
      <c r="A9" s="14" t="s">
        <v>603</v>
      </c>
      <c r="B9" s="14" t="s">
        <v>604</v>
      </c>
      <c r="C9" s="15" t="s">
        <v>609</v>
      </c>
      <c r="D9" s="16" t="s">
        <v>610</v>
      </c>
      <c r="E9" s="17">
        <v>2</v>
      </c>
      <c r="F9" s="18" t="s">
        <v>120</v>
      </c>
      <c r="G9" s="16" t="s">
        <v>1216</v>
      </c>
      <c r="H9" s="16" t="s">
        <v>1215</v>
      </c>
    </row>
    <row r="10" spans="1:8" ht="30" customHeight="1" x14ac:dyDescent="0.25">
      <c r="A10" s="19" t="s">
        <v>603</v>
      </c>
      <c r="B10" s="19" t="s">
        <v>604</v>
      </c>
      <c r="C10" s="20" t="s">
        <v>611</v>
      </c>
      <c r="D10" s="21" t="s">
        <v>612</v>
      </c>
      <c r="E10" s="17">
        <v>2</v>
      </c>
      <c r="F10" s="18" t="s">
        <v>120</v>
      </c>
      <c r="G10" s="16" t="s">
        <v>1217</v>
      </c>
      <c r="H10" s="16" t="s">
        <v>1215</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A00-000000000000}">
      <formula1>"Not Started,In Progress,Compliant,Not Applicable"</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4"/>
  <sheetViews>
    <sheetView topLeftCell="A48" zoomScale="70" zoomScaleNormal="70" workbookViewId="0">
      <selection sqref="A1:H44"/>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613</v>
      </c>
      <c r="B2" s="13" t="s">
        <v>614</v>
      </c>
      <c r="C2" s="13"/>
      <c r="D2" s="13"/>
      <c r="E2" s="13"/>
      <c r="F2" s="13"/>
      <c r="G2" s="13"/>
      <c r="H2" s="13"/>
    </row>
    <row r="3" spans="1:8" ht="60" customHeight="1" x14ac:dyDescent="0.25">
      <c r="A3" s="14" t="s">
        <v>613</v>
      </c>
      <c r="B3" s="14" t="s">
        <v>614</v>
      </c>
      <c r="C3" s="15" t="s">
        <v>615</v>
      </c>
      <c r="D3" s="16" t="s">
        <v>616</v>
      </c>
      <c r="E3" s="17">
        <v>2</v>
      </c>
      <c r="F3" s="18" t="s">
        <v>12</v>
      </c>
      <c r="G3" s="16" t="s">
        <v>617</v>
      </c>
      <c r="H3" s="16" t="s">
        <v>598</v>
      </c>
    </row>
    <row r="4" spans="1:8" ht="135" customHeight="1" x14ac:dyDescent="0.25">
      <c r="A4" s="19" t="s">
        <v>613</v>
      </c>
      <c r="B4" s="19" t="s">
        <v>614</v>
      </c>
      <c r="C4" s="20" t="s">
        <v>618</v>
      </c>
      <c r="D4" s="21" t="s">
        <v>619</v>
      </c>
      <c r="E4" s="17">
        <v>2</v>
      </c>
      <c r="F4" s="18" t="s">
        <v>12</v>
      </c>
      <c r="G4" s="16" t="s">
        <v>617</v>
      </c>
      <c r="H4" s="21" t="s">
        <v>598</v>
      </c>
    </row>
    <row r="5" spans="1:8" ht="18" customHeight="1" x14ac:dyDescent="0.25">
      <c r="A5" s="13" t="s">
        <v>620</v>
      </c>
      <c r="B5" s="13" t="s">
        <v>621</v>
      </c>
      <c r="C5" s="13"/>
      <c r="D5" s="13"/>
      <c r="E5" s="13"/>
      <c r="F5" s="13"/>
      <c r="G5" s="13"/>
      <c r="H5" s="13"/>
    </row>
    <row r="6" spans="1:8" ht="90" customHeight="1" x14ac:dyDescent="0.25">
      <c r="A6" s="14" t="s">
        <v>620</v>
      </c>
      <c r="B6" s="14" t="s">
        <v>621</v>
      </c>
      <c r="C6" s="15" t="s">
        <v>622</v>
      </c>
      <c r="D6" s="16" t="s">
        <v>623</v>
      </c>
      <c r="E6" s="17">
        <v>2</v>
      </c>
      <c r="F6" s="18" t="s">
        <v>12</v>
      </c>
      <c r="G6" s="16" t="s">
        <v>617</v>
      </c>
      <c r="H6" s="16" t="s">
        <v>598</v>
      </c>
    </row>
    <row r="7" spans="1:8" ht="75" customHeight="1" x14ac:dyDescent="0.25">
      <c r="A7" s="19" t="s">
        <v>620</v>
      </c>
      <c r="B7" s="19" t="s">
        <v>621</v>
      </c>
      <c r="C7" s="20" t="s">
        <v>624</v>
      </c>
      <c r="D7" s="21" t="s">
        <v>625</v>
      </c>
      <c r="E7" s="17">
        <v>2</v>
      </c>
      <c r="F7" s="18" t="s">
        <v>12</v>
      </c>
      <c r="G7" s="16" t="s">
        <v>617</v>
      </c>
      <c r="H7" s="21" t="s">
        <v>598</v>
      </c>
    </row>
    <row r="8" spans="1:8" ht="60" customHeight="1" x14ac:dyDescent="0.25">
      <c r="A8" s="14" t="s">
        <v>620</v>
      </c>
      <c r="B8" s="14" t="s">
        <v>621</v>
      </c>
      <c r="C8" s="15" t="s">
        <v>626</v>
      </c>
      <c r="D8" s="16" t="s">
        <v>627</v>
      </c>
      <c r="E8" s="23">
        <v>3</v>
      </c>
      <c r="F8" s="18" t="s">
        <v>12</v>
      </c>
      <c r="G8" s="16" t="s">
        <v>617</v>
      </c>
      <c r="H8" s="16" t="s">
        <v>598</v>
      </c>
    </row>
    <row r="9" spans="1:8" ht="18" customHeight="1" x14ac:dyDescent="0.25">
      <c r="A9" s="13" t="s">
        <v>628</v>
      </c>
      <c r="B9" s="13" t="s">
        <v>629</v>
      </c>
      <c r="C9" s="13"/>
      <c r="D9" s="13"/>
      <c r="E9" s="13"/>
      <c r="F9" s="13"/>
      <c r="G9" s="13"/>
      <c r="H9" s="13"/>
    </row>
    <row r="10" spans="1:8" ht="75" customHeight="1" x14ac:dyDescent="0.25">
      <c r="A10" s="14" t="s">
        <v>628</v>
      </c>
      <c r="B10" s="14" t="s">
        <v>629</v>
      </c>
      <c r="C10" s="15" t="s">
        <v>630</v>
      </c>
      <c r="D10" s="16" t="s">
        <v>631</v>
      </c>
      <c r="E10" s="17">
        <v>2</v>
      </c>
      <c r="F10" s="18" t="s">
        <v>12</v>
      </c>
      <c r="G10" s="16" t="s">
        <v>617</v>
      </c>
      <c r="H10" s="16" t="s">
        <v>598</v>
      </c>
    </row>
    <row r="11" spans="1:8" ht="75" customHeight="1" x14ac:dyDescent="0.25">
      <c r="A11" s="19" t="s">
        <v>628</v>
      </c>
      <c r="B11" s="19" t="s">
        <v>629</v>
      </c>
      <c r="C11" s="20" t="s">
        <v>632</v>
      </c>
      <c r="D11" s="21" t="s">
        <v>633</v>
      </c>
      <c r="E11" s="17">
        <v>2</v>
      </c>
      <c r="F11" s="18" t="s">
        <v>12</v>
      </c>
      <c r="G11" s="16" t="s">
        <v>617</v>
      </c>
      <c r="H11" s="21" t="s">
        <v>598</v>
      </c>
    </row>
    <row r="12" spans="1:8" ht="75" customHeight="1" x14ac:dyDescent="0.25">
      <c r="A12" s="14" t="s">
        <v>628</v>
      </c>
      <c r="B12" s="14" t="s">
        <v>629</v>
      </c>
      <c r="C12" s="15" t="s">
        <v>634</v>
      </c>
      <c r="D12" s="16" t="s">
        <v>635</v>
      </c>
      <c r="E12" s="17">
        <v>2</v>
      </c>
      <c r="F12" s="18" t="s">
        <v>12</v>
      </c>
      <c r="G12" s="16" t="s">
        <v>617</v>
      </c>
      <c r="H12" s="16" t="s">
        <v>598</v>
      </c>
    </row>
    <row r="13" spans="1:8" ht="75" customHeight="1" x14ac:dyDescent="0.25">
      <c r="A13" s="19" t="s">
        <v>628</v>
      </c>
      <c r="B13" s="19" t="s">
        <v>629</v>
      </c>
      <c r="C13" s="20" t="s">
        <v>636</v>
      </c>
      <c r="D13" s="21" t="s">
        <v>637</v>
      </c>
      <c r="E13" s="17">
        <v>2</v>
      </c>
      <c r="F13" s="18" t="s">
        <v>12</v>
      </c>
      <c r="G13" s="16" t="s">
        <v>617</v>
      </c>
      <c r="H13" s="21" t="s">
        <v>598</v>
      </c>
    </row>
    <row r="14" spans="1:8" ht="75" customHeight="1" x14ac:dyDescent="0.25">
      <c r="A14" s="14" t="s">
        <v>628</v>
      </c>
      <c r="B14" s="14" t="s">
        <v>629</v>
      </c>
      <c r="C14" s="15" t="s">
        <v>638</v>
      </c>
      <c r="D14" s="16" t="s">
        <v>639</v>
      </c>
      <c r="E14" s="23">
        <v>3</v>
      </c>
      <c r="F14" s="18" t="s">
        <v>12</v>
      </c>
      <c r="G14" s="16" t="s">
        <v>617</v>
      </c>
      <c r="H14" s="16" t="s">
        <v>598</v>
      </c>
    </row>
    <row r="15" spans="1:8" ht="18" customHeight="1" x14ac:dyDescent="0.25">
      <c r="A15" s="13" t="s">
        <v>640</v>
      </c>
      <c r="B15" s="13" t="s">
        <v>641</v>
      </c>
      <c r="C15" s="13"/>
      <c r="D15" s="13"/>
      <c r="E15" s="13"/>
      <c r="F15" s="13"/>
      <c r="G15" s="13"/>
      <c r="H15" s="13"/>
    </row>
    <row r="16" spans="1:8" ht="60" customHeight="1" x14ac:dyDescent="0.25">
      <c r="A16" s="14" t="s">
        <v>640</v>
      </c>
      <c r="B16" s="14" t="s">
        <v>641</v>
      </c>
      <c r="C16" s="15" t="s">
        <v>642</v>
      </c>
      <c r="D16" s="16" t="s">
        <v>643</v>
      </c>
      <c r="E16" s="22">
        <v>1</v>
      </c>
      <c r="F16" s="18" t="s">
        <v>12</v>
      </c>
      <c r="G16" s="16" t="s">
        <v>617</v>
      </c>
      <c r="H16" s="16" t="s">
        <v>598</v>
      </c>
    </row>
    <row r="17" spans="1:8" ht="90" customHeight="1" x14ac:dyDescent="0.25">
      <c r="A17" s="19" t="s">
        <v>640</v>
      </c>
      <c r="B17" s="19" t="s">
        <v>641</v>
      </c>
      <c r="C17" s="20" t="s">
        <v>644</v>
      </c>
      <c r="D17" s="21" t="s">
        <v>645</v>
      </c>
      <c r="E17" s="22">
        <v>1</v>
      </c>
      <c r="F17" s="18" t="s">
        <v>12</v>
      </c>
      <c r="G17" s="32" t="s">
        <v>617</v>
      </c>
      <c r="H17" s="21" t="s">
        <v>598</v>
      </c>
    </row>
    <row r="18" spans="1:8" ht="60" customHeight="1" x14ac:dyDescent="0.25">
      <c r="A18" s="14" t="s">
        <v>640</v>
      </c>
      <c r="B18" s="14" t="s">
        <v>641</v>
      </c>
      <c r="C18" s="15" t="s">
        <v>646</v>
      </c>
      <c r="D18" s="16" t="s">
        <v>647</v>
      </c>
      <c r="E18" s="22">
        <v>1</v>
      </c>
      <c r="F18" s="18" t="s">
        <v>12</v>
      </c>
      <c r="G18" s="16" t="s">
        <v>617</v>
      </c>
      <c r="H18" s="16" t="s">
        <v>598</v>
      </c>
    </row>
    <row r="19" spans="1:8" ht="60" customHeight="1" x14ac:dyDescent="0.25">
      <c r="A19" s="19" t="s">
        <v>640</v>
      </c>
      <c r="B19" s="19" t="s">
        <v>641</v>
      </c>
      <c r="C19" s="20" t="s">
        <v>648</v>
      </c>
      <c r="D19" s="21" t="s">
        <v>649</v>
      </c>
      <c r="E19" s="22">
        <v>1</v>
      </c>
      <c r="F19" s="18" t="s">
        <v>12</v>
      </c>
      <c r="G19" s="32" t="s">
        <v>617</v>
      </c>
      <c r="H19" s="21" t="s">
        <v>598</v>
      </c>
    </row>
    <row r="20" spans="1:8" ht="135" customHeight="1" x14ac:dyDescent="0.25">
      <c r="A20" s="14" t="s">
        <v>640</v>
      </c>
      <c r="B20" s="14" t="s">
        <v>641</v>
      </c>
      <c r="C20" s="15" t="s">
        <v>650</v>
      </c>
      <c r="D20" s="16" t="s">
        <v>651</v>
      </c>
      <c r="E20" s="22">
        <v>1</v>
      </c>
      <c r="F20" s="18" t="s">
        <v>12</v>
      </c>
      <c r="G20" s="16" t="s">
        <v>617</v>
      </c>
      <c r="H20" s="16" t="s">
        <v>598</v>
      </c>
    </row>
    <row r="21" spans="1:8" ht="105" customHeight="1" x14ac:dyDescent="0.25">
      <c r="A21" s="19" t="s">
        <v>640</v>
      </c>
      <c r="B21" s="19" t="s">
        <v>641</v>
      </c>
      <c r="C21" s="20" t="s">
        <v>652</v>
      </c>
      <c r="D21" s="21" t="s">
        <v>653</v>
      </c>
      <c r="E21" s="17">
        <v>2</v>
      </c>
      <c r="F21" s="18" t="s">
        <v>12</v>
      </c>
      <c r="G21" s="32" t="s">
        <v>617</v>
      </c>
      <c r="H21" s="21" t="s">
        <v>598</v>
      </c>
    </row>
    <row r="22" spans="1:8" ht="90" customHeight="1" x14ac:dyDescent="0.25">
      <c r="A22" s="14" t="s">
        <v>640</v>
      </c>
      <c r="B22" s="14" t="s">
        <v>641</v>
      </c>
      <c r="C22" s="15" t="s">
        <v>654</v>
      </c>
      <c r="D22" s="16" t="s">
        <v>655</v>
      </c>
      <c r="E22" s="17">
        <v>2</v>
      </c>
      <c r="F22" s="18" t="s">
        <v>12</v>
      </c>
      <c r="G22" s="16" t="s">
        <v>617</v>
      </c>
      <c r="H22" s="16" t="s">
        <v>598</v>
      </c>
    </row>
    <row r="23" spans="1:8" ht="60" customHeight="1" x14ac:dyDescent="0.25">
      <c r="A23" s="19" t="s">
        <v>640</v>
      </c>
      <c r="B23" s="19" t="s">
        <v>641</v>
      </c>
      <c r="C23" s="20" t="s">
        <v>656</v>
      </c>
      <c r="D23" s="21" t="s">
        <v>657</v>
      </c>
      <c r="E23" s="17">
        <v>2</v>
      </c>
      <c r="F23" s="18" t="s">
        <v>12</v>
      </c>
      <c r="G23" s="32" t="s">
        <v>617</v>
      </c>
      <c r="H23" s="21" t="s">
        <v>598</v>
      </c>
    </row>
    <row r="24" spans="1:8" ht="60" customHeight="1" x14ac:dyDescent="0.25">
      <c r="A24" s="14" t="s">
        <v>640</v>
      </c>
      <c r="B24" s="14" t="s">
        <v>641</v>
      </c>
      <c r="C24" s="15" t="s">
        <v>658</v>
      </c>
      <c r="D24" s="16" t="s">
        <v>659</v>
      </c>
      <c r="E24" s="17">
        <v>2</v>
      </c>
      <c r="F24" s="18" t="s">
        <v>12</v>
      </c>
      <c r="G24" s="16" t="s">
        <v>617</v>
      </c>
      <c r="H24" s="16" t="s">
        <v>598</v>
      </c>
    </row>
    <row r="25" spans="1:8" ht="60" customHeight="1" x14ac:dyDescent="0.25">
      <c r="A25" s="19" t="s">
        <v>640</v>
      </c>
      <c r="B25" s="19" t="s">
        <v>641</v>
      </c>
      <c r="C25" s="20" t="s">
        <v>660</v>
      </c>
      <c r="D25" s="21" t="s">
        <v>661</v>
      </c>
      <c r="E25" s="17">
        <v>2</v>
      </c>
      <c r="F25" s="18" t="s">
        <v>12</v>
      </c>
      <c r="G25" s="32" t="s">
        <v>617</v>
      </c>
      <c r="H25" s="21" t="s">
        <v>598</v>
      </c>
    </row>
    <row r="26" spans="1:8" ht="60" customHeight="1" x14ac:dyDescent="0.25">
      <c r="A26" s="14" t="s">
        <v>640</v>
      </c>
      <c r="B26" s="14" t="s">
        <v>641</v>
      </c>
      <c r="C26" s="15" t="s">
        <v>662</v>
      </c>
      <c r="D26" s="16" t="s">
        <v>663</v>
      </c>
      <c r="E26" s="17">
        <v>2</v>
      </c>
      <c r="F26" s="18" t="s">
        <v>12</v>
      </c>
      <c r="G26" s="16" t="s">
        <v>617</v>
      </c>
      <c r="H26" s="30" t="s">
        <v>598</v>
      </c>
    </row>
    <row r="27" spans="1:8" ht="75" customHeight="1" x14ac:dyDescent="0.25">
      <c r="A27" s="19" t="s">
        <v>640</v>
      </c>
      <c r="B27" s="19" t="s">
        <v>641</v>
      </c>
      <c r="C27" s="20" t="s">
        <v>664</v>
      </c>
      <c r="D27" s="21" t="s">
        <v>665</v>
      </c>
      <c r="E27" s="23">
        <v>3</v>
      </c>
      <c r="F27" s="18" t="s">
        <v>12</v>
      </c>
      <c r="G27" s="32" t="s">
        <v>617</v>
      </c>
      <c r="H27" s="21" t="s">
        <v>598</v>
      </c>
    </row>
    <row r="28" spans="1:8" ht="60" customHeight="1" x14ac:dyDescent="0.25">
      <c r="A28" s="14" t="s">
        <v>640</v>
      </c>
      <c r="B28" s="14" t="s">
        <v>641</v>
      </c>
      <c r="C28" s="15" t="s">
        <v>666</v>
      </c>
      <c r="D28" s="16" t="s">
        <v>667</v>
      </c>
      <c r="E28" s="23">
        <v>3</v>
      </c>
      <c r="F28" s="18" t="s">
        <v>12</v>
      </c>
      <c r="G28" s="16" t="s">
        <v>617</v>
      </c>
      <c r="H28" s="30" t="s">
        <v>598</v>
      </c>
    </row>
    <row r="29" spans="1:8" ht="60" customHeight="1" x14ac:dyDescent="0.25">
      <c r="A29" s="19" t="s">
        <v>640</v>
      </c>
      <c r="B29" s="19" t="s">
        <v>641</v>
      </c>
      <c r="C29" s="20" t="s">
        <v>668</v>
      </c>
      <c r="D29" s="21" t="s">
        <v>669</v>
      </c>
      <c r="E29" s="23">
        <v>3</v>
      </c>
      <c r="F29" s="18" t="s">
        <v>12</v>
      </c>
      <c r="G29" s="32" t="s">
        <v>617</v>
      </c>
      <c r="H29" s="21" t="s">
        <v>598</v>
      </c>
    </row>
    <row r="30" spans="1:8" ht="90" customHeight="1" x14ac:dyDescent="0.25">
      <c r="A30" s="14" t="s">
        <v>640</v>
      </c>
      <c r="B30" s="14" t="s">
        <v>641</v>
      </c>
      <c r="C30" s="15" t="s">
        <v>670</v>
      </c>
      <c r="D30" s="16" t="s">
        <v>671</v>
      </c>
      <c r="E30" s="23">
        <v>3</v>
      </c>
      <c r="F30" s="18" t="s">
        <v>12</v>
      </c>
      <c r="G30" s="16" t="s">
        <v>617</v>
      </c>
      <c r="H30" s="30" t="s">
        <v>598</v>
      </c>
    </row>
    <row r="31" spans="1:8" ht="75" customHeight="1" x14ac:dyDescent="0.25">
      <c r="A31" s="19" t="s">
        <v>640</v>
      </c>
      <c r="B31" s="19" t="s">
        <v>641</v>
      </c>
      <c r="C31" s="20" t="s">
        <v>672</v>
      </c>
      <c r="D31" s="21" t="s">
        <v>673</v>
      </c>
      <c r="E31" s="23">
        <v>3</v>
      </c>
      <c r="F31" s="18" t="s">
        <v>12</v>
      </c>
      <c r="G31" s="32" t="s">
        <v>617</v>
      </c>
      <c r="H31" s="21" t="s">
        <v>598</v>
      </c>
    </row>
    <row r="32" spans="1:8" ht="18" customHeight="1" x14ac:dyDescent="0.25">
      <c r="A32" s="13" t="s">
        <v>674</v>
      </c>
      <c r="B32" s="13" t="s">
        <v>675</v>
      </c>
      <c r="C32" s="13"/>
      <c r="D32" s="13"/>
      <c r="E32" s="13"/>
      <c r="F32" s="13"/>
      <c r="G32" s="13"/>
      <c r="H32" s="13"/>
    </row>
    <row r="33" spans="1:8" ht="90" customHeight="1" x14ac:dyDescent="0.25">
      <c r="A33" s="14" t="s">
        <v>674</v>
      </c>
      <c r="B33" s="14" t="s">
        <v>675</v>
      </c>
      <c r="C33" s="15" t="s">
        <v>676</v>
      </c>
      <c r="D33" s="16" t="s">
        <v>677</v>
      </c>
      <c r="E33" s="17">
        <v>2</v>
      </c>
      <c r="F33" s="18" t="s">
        <v>12</v>
      </c>
      <c r="G33" s="16" t="s">
        <v>617</v>
      </c>
      <c r="H33" s="16" t="s">
        <v>598</v>
      </c>
    </row>
    <row r="34" spans="1:8" ht="60" customHeight="1" x14ac:dyDescent="0.25">
      <c r="A34" s="19" t="s">
        <v>674</v>
      </c>
      <c r="B34" s="19" t="s">
        <v>675</v>
      </c>
      <c r="C34" s="20" t="s">
        <v>678</v>
      </c>
      <c r="D34" s="21" t="s">
        <v>679</v>
      </c>
      <c r="E34" s="17">
        <v>2</v>
      </c>
      <c r="F34" s="18" t="s">
        <v>12</v>
      </c>
      <c r="G34" s="32" t="s">
        <v>617</v>
      </c>
      <c r="H34" s="21" t="s">
        <v>598</v>
      </c>
    </row>
    <row r="35" spans="1:8" ht="90" customHeight="1" x14ac:dyDescent="0.25">
      <c r="A35" s="14" t="s">
        <v>674</v>
      </c>
      <c r="B35" s="14" t="s">
        <v>675</v>
      </c>
      <c r="C35" s="15" t="s">
        <v>680</v>
      </c>
      <c r="D35" s="16" t="s">
        <v>681</v>
      </c>
      <c r="E35" s="17">
        <v>2</v>
      </c>
      <c r="F35" s="18" t="s">
        <v>12</v>
      </c>
      <c r="G35" s="16" t="s">
        <v>617</v>
      </c>
      <c r="H35" s="16" t="s">
        <v>598</v>
      </c>
    </row>
    <row r="36" spans="1:8" ht="60" customHeight="1" x14ac:dyDescent="0.25">
      <c r="A36" s="19" t="s">
        <v>674</v>
      </c>
      <c r="B36" s="19" t="s">
        <v>675</v>
      </c>
      <c r="C36" s="20" t="s">
        <v>682</v>
      </c>
      <c r="D36" s="21" t="s">
        <v>683</v>
      </c>
      <c r="E36" s="17">
        <v>2</v>
      </c>
      <c r="F36" s="18" t="s">
        <v>12</v>
      </c>
      <c r="G36" s="32" t="s">
        <v>617</v>
      </c>
      <c r="H36" s="21" t="s">
        <v>598</v>
      </c>
    </row>
    <row r="37" spans="1:8" ht="105" customHeight="1" x14ac:dyDescent="0.25">
      <c r="A37" s="14" t="s">
        <v>674</v>
      </c>
      <c r="B37" s="14" t="s">
        <v>675</v>
      </c>
      <c r="C37" s="15" t="s">
        <v>684</v>
      </c>
      <c r="D37" s="16" t="s">
        <v>685</v>
      </c>
      <c r="E37" s="17">
        <v>2</v>
      </c>
      <c r="F37" s="18" t="s">
        <v>12</v>
      </c>
      <c r="G37" s="16" t="s">
        <v>617</v>
      </c>
      <c r="H37" s="16" t="s">
        <v>598</v>
      </c>
    </row>
    <row r="38" spans="1:8" ht="18" customHeight="1" x14ac:dyDescent="0.25">
      <c r="A38" s="13" t="s">
        <v>686</v>
      </c>
      <c r="B38" s="13" t="s">
        <v>687</v>
      </c>
      <c r="C38" s="13"/>
      <c r="D38" s="13"/>
      <c r="E38" s="13"/>
      <c r="F38" s="13"/>
      <c r="G38" s="13"/>
      <c r="H38" s="13"/>
    </row>
    <row r="39" spans="1:8" ht="60" customHeight="1" x14ac:dyDescent="0.25">
      <c r="A39" s="14" t="s">
        <v>686</v>
      </c>
      <c r="B39" s="14" t="s">
        <v>687</v>
      </c>
      <c r="C39" s="15" t="s">
        <v>688</v>
      </c>
      <c r="D39" s="16" t="s">
        <v>689</v>
      </c>
      <c r="E39" s="17">
        <v>2</v>
      </c>
      <c r="F39" s="18" t="s">
        <v>12</v>
      </c>
      <c r="G39" s="16" t="s">
        <v>617</v>
      </c>
      <c r="H39" s="16" t="s">
        <v>598</v>
      </c>
    </row>
    <row r="40" spans="1:8" ht="75" customHeight="1" x14ac:dyDescent="0.25">
      <c r="A40" s="19" t="s">
        <v>686</v>
      </c>
      <c r="B40" s="19" t="s">
        <v>687</v>
      </c>
      <c r="C40" s="20" t="s">
        <v>690</v>
      </c>
      <c r="D40" s="21" t="s">
        <v>691</v>
      </c>
      <c r="E40" s="17">
        <v>2</v>
      </c>
      <c r="F40" s="18" t="s">
        <v>12</v>
      </c>
      <c r="G40" s="32" t="s">
        <v>617</v>
      </c>
      <c r="H40" s="21" t="s">
        <v>598</v>
      </c>
    </row>
    <row r="41" spans="1:8" ht="18" customHeight="1" x14ac:dyDescent="0.25">
      <c r="A41" s="13" t="s">
        <v>692</v>
      </c>
      <c r="B41" s="13" t="s">
        <v>693</v>
      </c>
      <c r="C41" s="13"/>
      <c r="D41" s="13"/>
      <c r="E41" s="13"/>
      <c r="F41" s="13"/>
      <c r="G41" s="13"/>
      <c r="H41" s="13"/>
    </row>
    <row r="42" spans="1:8" ht="60" customHeight="1" x14ac:dyDescent="0.25">
      <c r="A42" s="14" t="s">
        <v>692</v>
      </c>
      <c r="B42" s="14" t="s">
        <v>693</v>
      </c>
      <c r="C42" s="15" t="s">
        <v>694</v>
      </c>
      <c r="D42" s="16" t="s">
        <v>695</v>
      </c>
      <c r="E42" s="17">
        <v>2</v>
      </c>
      <c r="F42" s="18" t="s">
        <v>12</v>
      </c>
      <c r="G42" s="16" t="s">
        <v>617</v>
      </c>
      <c r="H42" s="16" t="s">
        <v>598</v>
      </c>
    </row>
    <row r="43" spans="1:8" ht="105" customHeight="1" x14ac:dyDescent="0.25">
      <c r="A43" s="19" t="s">
        <v>692</v>
      </c>
      <c r="B43" s="19" t="s">
        <v>693</v>
      </c>
      <c r="C43" s="20" t="s">
        <v>696</v>
      </c>
      <c r="D43" s="21" t="s">
        <v>697</v>
      </c>
      <c r="E43" s="17">
        <v>2</v>
      </c>
      <c r="F43" s="18" t="s">
        <v>12</v>
      </c>
      <c r="G43" s="32" t="s">
        <v>617</v>
      </c>
      <c r="H43" s="32" t="s">
        <v>598</v>
      </c>
    </row>
    <row r="44" spans="1:8" ht="60" customHeight="1" x14ac:dyDescent="0.25">
      <c r="A44" s="14" t="s">
        <v>692</v>
      </c>
      <c r="B44" s="14" t="s">
        <v>693</v>
      </c>
      <c r="C44" s="15" t="s">
        <v>698</v>
      </c>
      <c r="D44" s="16" t="s">
        <v>699</v>
      </c>
      <c r="E44" s="17">
        <v>2</v>
      </c>
      <c r="F44" s="18" t="s">
        <v>12</v>
      </c>
      <c r="G44" s="16" t="s">
        <v>617</v>
      </c>
      <c r="H44" s="16" t="s">
        <v>598</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B00-000000000000}">
      <formula1>"Not Started,In Progress,Compliant,Not Applicable"</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2"/>
  <sheetViews>
    <sheetView topLeftCell="A14" zoomScale="70" zoomScaleNormal="70" workbookViewId="0">
      <selection activeCell="G31" sqref="G31"/>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700</v>
      </c>
      <c r="B2" s="13" t="s">
        <v>701</v>
      </c>
      <c r="C2" s="13"/>
      <c r="D2" s="13"/>
      <c r="E2" s="13"/>
      <c r="F2" s="13"/>
      <c r="G2" s="13"/>
      <c r="H2" s="13"/>
    </row>
    <row r="3" spans="1:8" ht="90" customHeight="1" x14ac:dyDescent="0.25">
      <c r="A3" s="14" t="s">
        <v>700</v>
      </c>
      <c r="B3" s="14" t="s">
        <v>701</v>
      </c>
      <c r="C3" s="15" t="s">
        <v>702</v>
      </c>
      <c r="D3" s="16" t="s">
        <v>703</v>
      </c>
      <c r="E3" s="17">
        <v>2</v>
      </c>
      <c r="F3" s="18" t="s">
        <v>120</v>
      </c>
      <c r="G3" s="16" t="s">
        <v>704</v>
      </c>
      <c r="H3" s="16" t="s">
        <v>705</v>
      </c>
    </row>
    <row r="4" spans="1:8" ht="90" customHeight="1" x14ac:dyDescent="0.25">
      <c r="A4" s="19" t="s">
        <v>700</v>
      </c>
      <c r="B4" s="19" t="s">
        <v>701</v>
      </c>
      <c r="C4" s="20" t="s">
        <v>706</v>
      </c>
      <c r="D4" s="21" t="s">
        <v>707</v>
      </c>
      <c r="E4" s="17">
        <v>2</v>
      </c>
      <c r="F4" s="18" t="s">
        <v>93</v>
      </c>
      <c r="G4" s="21" t="s">
        <v>1218</v>
      </c>
      <c r="H4" s="21" t="s">
        <v>1219</v>
      </c>
    </row>
    <row r="5" spans="1:8" ht="75" customHeight="1" x14ac:dyDescent="0.25">
      <c r="A5" s="14" t="s">
        <v>700</v>
      </c>
      <c r="B5" s="14" t="s">
        <v>701</v>
      </c>
      <c r="C5" s="15" t="s">
        <v>708</v>
      </c>
      <c r="D5" s="16" t="s">
        <v>709</v>
      </c>
      <c r="E5" s="23">
        <v>3</v>
      </c>
      <c r="F5" s="18" t="s">
        <v>120</v>
      </c>
      <c r="G5" s="16" t="s">
        <v>704</v>
      </c>
      <c r="H5" s="16" t="s">
        <v>705</v>
      </c>
    </row>
    <row r="6" spans="1:8" ht="75" customHeight="1" x14ac:dyDescent="0.25">
      <c r="A6" s="19" t="s">
        <v>700</v>
      </c>
      <c r="B6" s="19" t="s">
        <v>701</v>
      </c>
      <c r="C6" s="20" t="s">
        <v>710</v>
      </c>
      <c r="D6" s="21" t="s">
        <v>711</v>
      </c>
      <c r="E6" s="23">
        <v>3</v>
      </c>
      <c r="F6" s="18" t="s">
        <v>120</v>
      </c>
      <c r="G6" s="21" t="s">
        <v>704</v>
      </c>
      <c r="H6" s="21" t="s">
        <v>705</v>
      </c>
    </row>
    <row r="7" spans="1:8" ht="18" customHeight="1" x14ac:dyDescent="0.25">
      <c r="A7" s="13" t="s">
        <v>712</v>
      </c>
      <c r="B7" s="13" t="s">
        <v>713</v>
      </c>
      <c r="C7" s="13"/>
      <c r="D7" s="13"/>
      <c r="E7" s="13"/>
      <c r="F7" s="13"/>
      <c r="G7" s="13"/>
      <c r="H7" s="13"/>
    </row>
    <row r="8" spans="1:8" ht="75" x14ac:dyDescent="0.25">
      <c r="A8" s="14" t="s">
        <v>712</v>
      </c>
      <c r="B8" s="14" t="s">
        <v>713</v>
      </c>
      <c r="C8" s="15" t="s">
        <v>714</v>
      </c>
      <c r="D8" s="16" t="s">
        <v>715</v>
      </c>
      <c r="E8" s="17">
        <v>2</v>
      </c>
      <c r="F8" s="18" t="s">
        <v>93</v>
      </c>
      <c r="G8" s="16" t="s">
        <v>1220</v>
      </c>
      <c r="H8" s="16" t="s">
        <v>1221</v>
      </c>
    </row>
    <row r="9" spans="1:8" ht="135" customHeight="1" x14ac:dyDescent="0.25">
      <c r="A9" s="19" t="s">
        <v>712</v>
      </c>
      <c r="B9" s="19" t="s">
        <v>713</v>
      </c>
      <c r="C9" s="20" t="s">
        <v>716</v>
      </c>
      <c r="D9" s="21" t="s">
        <v>717</v>
      </c>
      <c r="E9" s="17">
        <v>2</v>
      </c>
      <c r="F9" s="18" t="s">
        <v>93</v>
      </c>
      <c r="G9" s="21" t="s">
        <v>1222</v>
      </c>
      <c r="H9" s="21" t="s">
        <v>1223</v>
      </c>
    </row>
    <row r="10" spans="1:8" ht="75" customHeight="1" x14ac:dyDescent="0.25">
      <c r="A10" s="14" t="s">
        <v>712</v>
      </c>
      <c r="B10" s="14" t="s">
        <v>713</v>
      </c>
      <c r="C10" s="15" t="s">
        <v>718</v>
      </c>
      <c r="D10" s="16" t="s">
        <v>719</v>
      </c>
      <c r="E10" s="17">
        <v>2</v>
      </c>
      <c r="F10" s="18" t="s">
        <v>93</v>
      </c>
      <c r="G10" s="16" t="s">
        <v>1224</v>
      </c>
      <c r="H10" s="16" t="s">
        <v>1225</v>
      </c>
    </row>
    <row r="11" spans="1:8" ht="75" x14ac:dyDescent="0.25">
      <c r="A11" s="19" t="s">
        <v>712</v>
      </c>
      <c r="B11" s="19" t="s">
        <v>713</v>
      </c>
      <c r="C11" s="20" t="s">
        <v>720</v>
      </c>
      <c r="D11" s="21" t="s">
        <v>721</v>
      </c>
      <c r="E11" s="23">
        <v>3</v>
      </c>
      <c r="F11" s="18" t="s">
        <v>93</v>
      </c>
      <c r="G11" s="21" t="s">
        <v>1226</v>
      </c>
      <c r="H11" s="21" t="s">
        <v>1227</v>
      </c>
    </row>
    <row r="12" spans="1:8" ht="60" x14ac:dyDescent="0.25">
      <c r="A12" s="14" t="s">
        <v>712</v>
      </c>
      <c r="B12" s="14" t="s">
        <v>713</v>
      </c>
      <c r="C12" s="15" t="s">
        <v>723</v>
      </c>
      <c r="D12" s="16" t="s">
        <v>724</v>
      </c>
      <c r="E12" s="23">
        <v>3</v>
      </c>
      <c r="F12" s="18" t="s">
        <v>93</v>
      </c>
      <c r="G12" s="16" t="s">
        <v>1228</v>
      </c>
      <c r="H12" s="16" t="s">
        <v>1229</v>
      </c>
    </row>
    <row r="13" spans="1:8" ht="18" customHeight="1" x14ac:dyDescent="0.25">
      <c r="A13" s="13" t="s">
        <v>725</v>
      </c>
      <c r="B13" s="13" t="s">
        <v>726</v>
      </c>
      <c r="C13" s="13"/>
      <c r="D13" s="13"/>
      <c r="E13" s="13"/>
      <c r="F13" s="13"/>
      <c r="G13" s="13"/>
      <c r="H13" s="13"/>
    </row>
    <row r="14" spans="1:8" ht="45" customHeight="1" x14ac:dyDescent="0.25">
      <c r="A14" s="14" t="s">
        <v>725</v>
      </c>
      <c r="B14" s="14" t="s">
        <v>726</v>
      </c>
      <c r="C14" s="15" t="s">
        <v>727</v>
      </c>
      <c r="D14" s="16" t="s">
        <v>728</v>
      </c>
      <c r="E14" s="22">
        <v>1</v>
      </c>
      <c r="F14" s="18" t="s">
        <v>120</v>
      </c>
      <c r="G14" s="16" t="s">
        <v>729</v>
      </c>
      <c r="H14" s="16" t="s">
        <v>730</v>
      </c>
    </row>
    <row r="15" spans="1:8" ht="45" customHeight="1" x14ac:dyDescent="0.25">
      <c r="A15" s="19" t="s">
        <v>725</v>
      </c>
      <c r="B15" s="19" t="s">
        <v>726</v>
      </c>
      <c r="C15" s="20" t="s">
        <v>731</v>
      </c>
      <c r="D15" s="21" t="s">
        <v>732</v>
      </c>
      <c r="E15" s="22">
        <v>1</v>
      </c>
      <c r="F15" s="18" t="s">
        <v>120</v>
      </c>
      <c r="G15" s="21" t="s">
        <v>729</v>
      </c>
      <c r="H15" s="21" t="s">
        <v>730</v>
      </c>
    </row>
    <row r="16" spans="1:8" ht="60" customHeight="1" x14ac:dyDescent="0.25">
      <c r="A16" s="14" t="s">
        <v>725</v>
      </c>
      <c r="B16" s="14" t="s">
        <v>726</v>
      </c>
      <c r="C16" s="15" t="s">
        <v>733</v>
      </c>
      <c r="D16" s="16" t="s">
        <v>734</v>
      </c>
      <c r="E16" s="17">
        <v>2</v>
      </c>
      <c r="F16" s="18" t="s">
        <v>120</v>
      </c>
      <c r="G16" s="16" t="s">
        <v>729</v>
      </c>
      <c r="H16" s="16" t="s">
        <v>730</v>
      </c>
    </row>
    <row r="17" spans="1:8" ht="60" customHeight="1" x14ac:dyDescent="0.25">
      <c r="A17" s="19" t="s">
        <v>725</v>
      </c>
      <c r="B17" s="19" t="s">
        <v>726</v>
      </c>
      <c r="C17" s="20" t="s">
        <v>735</v>
      </c>
      <c r="D17" s="21" t="s">
        <v>736</v>
      </c>
      <c r="E17" s="23">
        <v>3</v>
      </c>
      <c r="F17" s="18" t="s">
        <v>120</v>
      </c>
      <c r="G17" s="21" t="s">
        <v>722</v>
      </c>
      <c r="H17" s="21" t="s">
        <v>730</v>
      </c>
    </row>
    <row r="18" spans="1:8" ht="30" customHeight="1" x14ac:dyDescent="0.25">
      <c r="A18" s="14" t="s">
        <v>725</v>
      </c>
      <c r="B18" s="14" t="s">
        <v>726</v>
      </c>
      <c r="C18" s="15" t="s">
        <v>737</v>
      </c>
      <c r="D18" s="16" t="s">
        <v>738</v>
      </c>
      <c r="E18" s="23">
        <v>3</v>
      </c>
      <c r="F18" s="18" t="s">
        <v>120</v>
      </c>
      <c r="G18" s="16" t="s">
        <v>722</v>
      </c>
      <c r="H18" s="16" t="s">
        <v>730</v>
      </c>
    </row>
    <row r="19" spans="1:8" ht="18" customHeight="1" x14ac:dyDescent="0.25">
      <c r="A19" s="13" t="s">
        <v>739</v>
      </c>
      <c r="B19" s="13" t="s">
        <v>740</v>
      </c>
      <c r="C19" s="13"/>
      <c r="D19" s="13"/>
      <c r="E19" s="13"/>
      <c r="F19" s="13"/>
      <c r="G19" s="13"/>
      <c r="H19" s="13"/>
    </row>
    <row r="20" spans="1:8" ht="60" x14ac:dyDescent="0.25">
      <c r="A20" s="14" t="s">
        <v>739</v>
      </c>
      <c r="B20" s="14" t="s">
        <v>740</v>
      </c>
      <c r="C20" s="15" t="s">
        <v>741</v>
      </c>
      <c r="D20" s="16" t="s">
        <v>742</v>
      </c>
      <c r="E20" s="22">
        <v>1</v>
      </c>
      <c r="F20" s="18" t="s">
        <v>178</v>
      </c>
      <c r="G20" s="16" t="s">
        <v>1230</v>
      </c>
      <c r="H20" s="16" t="s">
        <v>1231</v>
      </c>
    </row>
    <row r="21" spans="1:8" ht="90" x14ac:dyDescent="0.25">
      <c r="A21" s="19" t="s">
        <v>739</v>
      </c>
      <c r="B21" s="19" t="s">
        <v>740</v>
      </c>
      <c r="C21" s="20" t="s">
        <v>743</v>
      </c>
      <c r="D21" s="21" t="s">
        <v>744</v>
      </c>
      <c r="E21" s="17">
        <v>2</v>
      </c>
      <c r="F21" s="18" t="s">
        <v>178</v>
      </c>
      <c r="G21" s="21" t="s">
        <v>1232</v>
      </c>
      <c r="H21" s="21" t="s">
        <v>1233</v>
      </c>
    </row>
    <row r="22" spans="1:8" ht="90" customHeight="1" x14ac:dyDescent="0.25">
      <c r="A22" s="14" t="s">
        <v>739</v>
      </c>
      <c r="B22" s="14" t="s">
        <v>740</v>
      </c>
      <c r="C22" s="15" t="s">
        <v>745</v>
      </c>
      <c r="D22" s="16" t="s">
        <v>746</v>
      </c>
      <c r="E22" s="17">
        <v>2</v>
      </c>
      <c r="F22" s="18" t="s">
        <v>178</v>
      </c>
      <c r="G22" s="16" t="s">
        <v>1234</v>
      </c>
      <c r="H22" s="16" t="s">
        <v>1235</v>
      </c>
    </row>
    <row r="23" spans="1:8" ht="75" customHeight="1" x14ac:dyDescent="0.25">
      <c r="A23" s="19" t="s">
        <v>739</v>
      </c>
      <c r="B23" s="19" t="s">
        <v>740</v>
      </c>
      <c r="C23" s="20" t="s">
        <v>747</v>
      </c>
      <c r="D23" s="21" t="s">
        <v>748</v>
      </c>
      <c r="E23" s="17">
        <v>2</v>
      </c>
      <c r="F23" s="18" t="s">
        <v>12</v>
      </c>
      <c r="G23" s="21" t="s">
        <v>100</v>
      </c>
      <c r="H23" s="21" t="s">
        <v>101</v>
      </c>
    </row>
    <row r="24" spans="1:8" ht="18" customHeight="1" x14ac:dyDescent="0.25">
      <c r="A24" s="13" t="s">
        <v>749</v>
      </c>
      <c r="B24" s="13" t="s">
        <v>750</v>
      </c>
      <c r="C24" s="13"/>
      <c r="D24" s="13"/>
      <c r="E24" s="13"/>
      <c r="F24" s="13"/>
      <c r="G24" s="13"/>
      <c r="H24" s="13"/>
    </row>
    <row r="25" spans="1:8" ht="75" customHeight="1" x14ac:dyDescent="0.25">
      <c r="A25" s="14" t="s">
        <v>749</v>
      </c>
      <c r="B25" s="14" t="s">
        <v>750</v>
      </c>
      <c r="C25" s="15" t="s">
        <v>751</v>
      </c>
      <c r="D25" s="16" t="s">
        <v>752</v>
      </c>
      <c r="E25" s="17">
        <v>2</v>
      </c>
      <c r="F25" s="18" t="s">
        <v>178</v>
      </c>
      <c r="G25" s="16" t="s">
        <v>1236</v>
      </c>
      <c r="H25" s="16" t="s">
        <v>1237</v>
      </c>
    </row>
    <row r="26" spans="1:8" ht="45" x14ac:dyDescent="0.25">
      <c r="A26" s="19" t="s">
        <v>749</v>
      </c>
      <c r="B26" s="19" t="s">
        <v>750</v>
      </c>
      <c r="C26" s="20" t="s">
        <v>753</v>
      </c>
      <c r="D26" s="21" t="s">
        <v>754</v>
      </c>
      <c r="E26" s="23">
        <v>3</v>
      </c>
      <c r="F26" s="18" t="s">
        <v>93</v>
      </c>
      <c r="G26" s="21" t="s">
        <v>1238</v>
      </c>
      <c r="H26" s="21" t="s">
        <v>1239</v>
      </c>
    </row>
    <row r="27" spans="1:8" ht="18" customHeight="1" x14ac:dyDescent="0.25">
      <c r="A27" s="13" t="s">
        <v>755</v>
      </c>
      <c r="B27" s="13" t="s">
        <v>756</v>
      </c>
      <c r="C27" s="13"/>
      <c r="D27" s="13"/>
      <c r="E27" s="13"/>
      <c r="F27" s="13"/>
      <c r="G27" s="13"/>
      <c r="H27" s="13"/>
    </row>
    <row r="28" spans="1:8" ht="90" customHeight="1" x14ac:dyDescent="0.25">
      <c r="A28" s="14" t="s">
        <v>755</v>
      </c>
      <c r="B28" s="14" t="s">
        <v>756</v>
      </c>
      <c r="C28" s="15" t="s">
        <v>757</v>
      </c>
      <c r="D28" s="16" t="s">
        <v>758</v>
      </c>
      <c r="E28" s="17">
        <v>2</v>
      </c>
      <c r="F28" s="18" t="s">
        <v>12</v>
      </c>
      <c r="G28" s="16" t="s">
        <v>1240</v>
      </c>
      <c r="H28" s="16" t="s">
        <v>1241</v>
      </c>
    </row>
    <row r="29" spans="1:8" ht="75" customHeight="1" x14ac:dyDescent="0.25">
      <c r="A29" s="19" t="s">
        <v>755</v>
      </c>
      <c r="B29" s="19" t="s">
        <v>756</v>
      </c>
      <c r="C29" s="20" t="s">
        <v>759</v>
      </c>
      <c r="D29" s="21" t="s">
        <v>760</v>
      </c>
      <c r="E29" s="23">
        <v>3</v>
      </c>
      <c r="F29" s="18" t="s">
        <v>12</v>
      </c>
      <c r="G29" s="21" t="s">
        <v>1242</v>
      </c>
      <c r="H29" s="21" t="s">
        <v>1243</v>
      </c>
    </row>
    <row r="30" spans="1:8" ht="18" customHeight="1" x14ac:dyDescent="0.25">
      <c r="A30" s="13" t="s">
        <v>761</v>
      </c>
      <c r="B30" s="13" t="s">
        <v>762</v>
      </c>
      <c r="C30" s="13"/>
      <c r="D30" s="13"/>
      <c r="E30" s="13"/>
      <c r="F30" s="13"/>
      <c r="G30" s="13"/>
      <c r="H30" s="13"/>
    </row>
    <row r="31" spans="1:8" ht="45" customHeight="1" x14ac:dyDescent="0.25">
      <c r="A31" s="14" t="s">
        <v>761</v>
      </c>
      <c r="B31" s="14" t="s">
        <v>762</v>
      </c>
      <c r="C31" s="15" t="s">
        <v>763</v>
      </c>
      <c r="D31" s="16" t="s">
        <v>764</v>
      </c>
      <c r="E31" s="23">
        <v>3</v>
      </c>
      <c r="F31" s="18" t="s">
        <v>120</v>
      </c>
      <c r="G31" s="16" t="s">
        <v>722</v>
      </c>
      <c r="H31" s="16" t="s">
        <v>765</v>
      </c>
    </row>
    <row r="32" spans="1:8" ht="45" customHeight="1" x14ac:dyDescent="0.25">
      <c r="A32" s="19" t="s">
        <v>761</v>
      </c>
      <c r="B32" s="19" t="s">
        <v>762</v>
      </c>
      <c r="C32" s="20" t="s">
        <v>766</v>
      </c>
      <c r="D32" s="21" t="s">
        <v>767</v>
      </c>
      <c r="E32" s="23">
        <v>3</v>
      </c>
      <c r="F32" s="18" t="s">
        <v>93</v>
      </c>
      <c r="G32" s="21" t="s">
        <v>1244</v>
      </c>
      <c r="H32" s="21" t="s">
        <v>1245</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C00-000000000000}">
      <formula1>"Not Started,In Progress,Compliant,Not Applicable"</formula1>
      <formula2>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6"/>
  <sheetViews>
    <sheetView topLeftCell="A6" zoomScale="80" zoomScaleNormal="80" workbookViewId="0">
      <selection activeCell="F13" sqref="F13"/>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768</v>
      </c>
      <c r="B2" s="13" t="s">
        <v>769</v>
      </c>
      <c r="C2" s="13"/>
      <c r="D2" s="13"/>
      <c r="E2" s="13"/>
      <c r="F2" s="13"/>
      <c r="G2" s="13"/>
      <c r="H2" s="13"/>
    </row>
    <row r="3" spans="1:8" ht="45" customHeight="1" x14ac:dyDescent="0.25">
      <c r="A3" s="14" t="s">
        <v>768</v>
      </c>
      <c r="B3" s="14" t="s">
        <v>769</v>
      </c>
      <c r="C3" s="15" t="s">
        <v>770</v>
      </c>
      <c r="D3" s="16" t="s">
        <v>771</v>
      </c>
      <c r="E3" s="22">
        <v>1</v>
      </c>
      <c r="F3" s="18" t="s">
        <v>93</v>
      </c>
      <c r="G3" s="16" t="s">
        <v>1244</v>
      </c>
      <c r="H3" s="16" t="s">
        <v>1245</v>
      </c>
    </row>
    <row r="4" spans="1:8" ht="45" customHeight="1" x14ac:dyDescent="0.25">
      <c r="A4" s="19" t="s">
        <v>768</v>
      </c>
      <c r="B4" s="19" t="s">
        <v>769</v>
      </c>
      <c r="C4" s="20" t="s">
        <v>772</v>
      </c>
      <c r="D4" s="21" t="s">
        <v>773</v>
      </c>
      <c r="E4" s="17">
        <v>2</v>
      </c>
      <c r="F4" s="18" t="s">
        <v>120</v>
      </c>
      <c r="G4" s="21" t="s">
        <v>774</v>
      </c>
      <c r="H4" s="21" t="s">
        <v>231</v>
      </c>
    </row>
    <row r="5" spans="1:8" ht="45" customHeight="1" x14ac:dyDescent="0.25">
      <c r="A5" s="14" t="s">
        <v>768</v>
      </c>
      <c r="B5" s="14" t="s">
        <v>769</v>
      </c>
      <c r="C5" s="15" t="s">
        <v>775</v>
      </c>
      <c r="D5" s="16" t="s">
        <v>776</v>
      </c>
      <c r="E5" s="17">
        <v>2</v>
      </c>
      <c r="F5" s="18" t="s">
        <v>12</v>
      </c>
      <c r="G5" s="16" t="s">
        <v>777</v>
      </c>
      <c r="H5" s="16" t="s">
        <v>778</v>
      </c>
    </row>
    <row r="6" spans="1:8" ht="45" customHeight="1" x14ac:dyDescent="0.25">
      <c r="A6" s="19" t="s">
        <v>768</v>
      </c>
      <c r="B6" s="19" t="s">
        <v>769</v>
      </c>
      <c r="C6" s="20" t="s">
        <v>779</v>
      </c>
      <c r="D6" s="21" t="s">
        <v>780</v>
      </c>
      <c r="E6" s="23">
        <v>3</v>
      </c>
      <c r="F6" s="18" t="s">
        <v>120</v>
      </c>
      <c r="G6" s="21" t="s">
        <v>781</v>
      </c>
      <c r="H6" s="21" t="s">
        <v>231</v>
      </c>
    </row>
    <row r="7" spans="1:8" ht="60" customHeight="1" x14ac:dyDescent="0.25">
      <c r="A7" s="14" t="s">
        <v>768</v>
      </c>
      <c r="B7" s="14" t="s">
        <v>769</v>
      </c>
      <c r="C7" s="15" t="s">
        <v>782</v>
      </c>
      <c r="D7" s="16" t="s">
        <v>783</v>
      </c>
      <c r="E7" s="23">
        <v>3</v>
      </c>
      <c r="F7" s="18" t="s">
        <v>120</v>
      </c>
      <c r="G7" s="16" t="s">
        <v>781</v>
      </c>
      <c r="H7" s="16" t="s">
        <v>231</v>
      </c>
    </row>
    <row r="8" spans="1:8" ht="18" customHeight="1" x14ac:dyDescent="0.25">
      <c r="A8" s="13" t="s">
        <v>784</v>
      </c>
      <c r="B8" s="13" t="s">
        <v>785</v>
      </c>
      <c r="C8" s="13"/>
      <c r="D8" s="13"/>
      <c r="E8" s="13"/>
      <c r="F8" s="13"/>
      <c r="G8" s="13"/>
      <c r="H8" s="13"/>
    </row>
    <row r="9" spans="1:8" ht="60" x14ac:dyDescent="0.25">
      <c r="A9" s="14" t="s">
        <v>784</v>
      </c>
      <c r="B9" s="14" t="s">
        <v>785</v>
      </c>
      <c r="C9" s="15" t="s">
        <v>786</v>
      </c>
      <c r="D9" s="16" t="s">
        <v>787</v>
      </c>
      <c r="E9" s="22">
        <v>1</v>
      </c>
      <c r="F9" s="18" t="s">
        <v>93</v>
      </c>
      <c r="G9" s="16" t="s">
        <v>1246</v>
      </c>
      <c r="H9" s="16" t="s">
        <v>1247</v>
      </c>
    </row>
    <row r="10" spans="1:8" ht="30" customHeight="1" x14ac:dyDescent="0.25">
      <c r="A10" s="19" t="s">
        <v>784</v>
      </c>
      <c r="B10" s="19" t="s">
        <v>785</v>
      </c>
      <c r="C10" s="20" t="s">
        <v>788</v>
      </c>
      <c r="D10" s="21" t="s">
        <v>789</v>
      </c>
      <c r="E10" s="22">
        <v>1</v>
      </c>
      <c r="F10" s="18" t="s">
        <v>120</v>
      </c>
      <c r="G10" s="21" t="s">
        <v>790</v>
      </c>
      <c r="H10" s="21" t="s">
        <v>231</v>
      </c>
    </row>
    <row r="11" spans="1:8" ht="18" customHeight="1" x14ac:dyDescent="0.25">
      <c r="A11" s="13" t="s">
        <v>791</v>
      </c>
      <c r="B11" s="13" t="s">
        <v>792</v>
      </c>
      <c r="C11" s="13"/>
      <c r="D11" s="13"/>
      <c r="E11" s="13"/>
      <c r="F11" s="13"/>
      <c r="G11" s="13"/>
      <c r="H11" s="13"/>
    </row>
    <row r="12" spans="1:8" ht="90" customHeight="1" x14ac:dyDescent="0.25">
      <c r="A12" s="14" t="s">
        <v>791</v>
      </c>
      <c r="B12" s="14" t="s">
        <v>792</v>
      </c>
      <c r="C12" s="15" t="s">
        <v>793</v>
      </c>
      <c r="D12" s="16" t="s">
        <v>794</v>
      </c>
      <c r="E12" s="17">
        <v>2</v>
      </c>
      <c r="F12" s="18" t="s">
        <v>93</v>
      </c>
      <c r="G12" s="16" t="s">
        <v>1248</v>
      </c>
      <c r="H12" s="16" t="s">
        <v>1249</v>
      </c>
    </row>
    <row r="13" spans="1:8" ht="30" customHeight="1" x14ac:dyDescent="0.25">
      <c r="A13" s="19" t="s">
        <v>791</v>
      </c>
      <c r="B13" s="19" t="s">
        <v>792</v>
      </c>
      <c r="C13" s="20" t="s">
        <v>797</v>
      </c>
      <c r="D13" s="21" t="s">
        <v>798</v>
      </c>
      <c r="E13" s="17">
        <v>2</v>
      </c>
      <c r="F13" s="18" t="s">
        <v>120</v>
      </c>
      <c r="G13" s="21" t="s">
        <v>795</v>
      </c>
      <c r="H13" s="21" t="s">
        <v>796</v>
      </c>
    </row>
    <row r="14" spans="1:8" ht="60" customHeight="1" x14ac:dyDescent="0.25">
      <c r="A14" s="14" t="s">
        <v>791</v>
      </c>
      <c r="B14" s="14" t="s">
        <v>792</v>
      </c>
      <c r="C14" s="15" t="s">
        <v>799</v>
      </c>
      <c r="D14" s="16" t="s">
        <v>800</v>
      </c>
      <c r="E14" s="17">
        <v>2</v>
      </c>
      <c r="F14" s="18" t="s">
        <v>120</v>
      </c>
      <c r="G14" s="16" t="s">
        <v>795</v>
      </c>
      <c r="H14" s="16" t="s">
        <v>796</v>
      </c>
    </row>
    <row r="15" spans="1:8" ht="75" customHeight="1" x14ac:dyDescent="0.25">
      <c r="A15" s="19" t="s">
        <v>791</v>
      </c>
      <c r="B15" s="19" t="s">
        <v>792</v>
      </c>
      <c r="C15" s="20" t="s">
        <v>801</v>
      </c>
      <c r="D15" s="21" t="s">
        <v>802</v>
      </c>
      <c r="E15" s="17">
        <v>2</v>
      </c>
      <c r="F15" s="18" t="s">
        <v>120</v>
      </c>
      <c r="G15" s="21" t="s">
        <v>795</v>
      </c>
      <c r="H15" s="21" t="s">
        <v>796</v>
      </c>
    </row>
    <row r="16" spans="1:8" ht="120" customHeight="1" x14ac:dyDescent="0.25">
      <c r="A16" s="14" t="s">
        <v>791</v>
      </c>
      <c r="B16" s="14" t="s">
        <v>792</v>
      </c>
      <c r="C16" s="15" t="s">
        <v>803</v>
      </c>
      <c r="D16" s="16" t="s">
        <v>804</v>
      </c>
      <c r="E16" s="23">
        <v>3</v>
      </c>
      <c r="F16" s="18" t="s">
        <v>12</v>
      </c>
      <c r="G16" s="16" t="s">
        <v>805</v>
      </c>
      <c r="H16" s="16" t="s">
        <v>806</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D00-000000000000}">
      <formula1>"Not Started,In Progress,Compliant,Not Applicable"</formula1>
      <formula2>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6"/>
  <sheetViews>
    <sheetView topLeftCell="A17" zoomScale="80" zoomScaleNormal="80" workbookViewId="0">
      <selection activeCell="H26" sqref="H26"/>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807</v>
      </c>
      <c r="B2" s="13" t="s">
        <v>808</v>
      </c>
      <c r="C2" s="13"/>
      <c r="D2" s="13"/>
      <c r="E2" s="13"/>
      <c r="F2" s="13"/>
      <c r="G2" s="13"/>
      <c r="H2" s="13"/>
    </row>
    <row r="3" spans="1:8" ht="75" x14ac:dyDescent="0.25">
      <c r="A3" s="14" t="s">
        <v>807</v>
      </c>
      <c r="B3" s="14" t="s">
        <v>808</v>
      </c>
      <c r="C3" s="15" t="s">
        <v>809</v>
      </c>
      <c r="D3" s="16" t="s">
        <v>810</v>
      </c>
      <c r="E3" s="17">
        <v>2</v>
      </c>
      <c r="F3" s="18" t="s">
        <v>93</v>
      </c>
      <c r="G3" s="16" t="s">
        <v>811</v>
      </c>
      <c r="H3" s="16" t="s">
        <v>812</v>
      </c>
    </row>
    <row r="4" spans="1:8" ht="30" customHeight="1" x14ac:dyDescent="0.25">
      <c r="A4" s="19" t="s">
        <v>807</v>
      </c>
      <c r="B4" s="19" t="s">
        <v>808</v>
      </c>
      <c r="C4" s="20" t="s">
        <v>813</v>
      </c>
      <c r="D4" s="21" t="s">
        <v>814</v>
      </c>
      <c r="E4" s="23">
        <v>3</v>
      </c>
      <c r="F4" s="18" t="s">
        <v>120</v>
      </c>
      <c r="G4" s="21" t="s">
        <v>815</v>
      </c>
      <c r="H4" s="21" t="s">
        <v>185</v>
      </c>
    </row>
    <row r="5" spans="1:8" ht="150" x14ac:dyDescent="0.25">
      <c r="A5" s="14" t="s">
        <v>807</v>
      </c>
      <c r="B5" s="14" t="s">
        <v>808</v>
      </c>
      <c r="C5" s="15" t="s">
        <v>816</v>
      </c>
      <c r="D5" s="16" t="s">
        <v>817</v>
      </c>
      <c r="E5" s="23">
        <v>3</v>
      </c>
      <c r="F5" s="18" t="s">
        <v>93</v>
      </c>
      <c r="G5" s="16" t="s">
        <v>1250</v>
      </c>
      <c r="H5" s="16" t="s">
        <v>1251</v>
      </c>
    </row>
    <row r="6" spans="1:8" ht="60" x14ac:dyDescent="0.25">
      <c r="A6" s="19" t="s">
        <v>807</v>
      </c>
      <c r="B6" s="19" t="s">
        <v>808</v>
      </c>
      <c r="C6" s="20" t="s">
        <v>818</v>
      </c>
      <c r="D6" s="21" t="s">
        <v>819</v>
      </c>
      <c r="E6" s="23">
        <v>3</v>
      </c>
      <c r="F6" s="18" t="s">
        <v>93</v>
      </c>
      <c r="G6" s="21" t="s">
        <v>1252</v>
      </c>
      <c r="H6" s="21" t="s">
        <v>1253</v>
      </c>
    </row>
    <row r="7" spans="1:8" ht="18" customHeight="1" x14ac:dyDescent="0.25">
      <c r="A7" s="13" t="s">
        <v>820</v>
      </c>
      <c r="B7" s="13" t="s">
        <v>821</v>
      </c>
      <c r="C7" s="13"/>
      <c r="D7" s="13"/>
      <c r="E7" s="13"/>
      <c r="F7" s="13"/>
      <c r="G7" s="13"/>
      <c r="H7" s="13"/>
    </row>
    <row r="8" spans="1:8" ht="105" x14ac:dyDescent="0.25">
      <c r="A8" s="14" t="s">
        <v>820</v>
      </c>
      <c r="B8" s="14" t="s">
        <v>821</v>
      </c>
      <c r="C8" s="15" t="s">
        <v>822</v>
      </c>
      <c r="D8" s="16" t="s">
        <v>823</v>
      </c>
      <c r="E8" s="17">
        <v>2</v>
      </c>
      <c r="F8" s="18" t="s">
        <v>120</v>
      </c>
      <c r="G8" s="16" t="s">
        <v>824</v>
      </c>
      <c r="H8" s="16" t="s">
        <v>825</v>
      </c>
    </row>
    <row r="9" spans="1:8" ht="60" x14ac:dyDescent="0.25">
      <c r="A9" s="19" t="s">
        <v>820</v>
      </c>
      <c r="B9" s="19" t="s">
        <v>821</v>
      </c>
      <c r="C9" s="20" t="s">
        <v>826</v>
      </c>
      <c r="D9" s="21" t="s">
        <v>827</v>
      </c>
      <c r="E9" s="17">
        <v>2</v>
      </c>
      <c r="F9" s="18" t="s">
        <v>93</v>
      </c>
      <c r="G9" s="21" t="s">
        <v>1254</v>
      </c>
      <c r="H9" s="21" t="s">
        <v>1255</v>
      </c>
    </row>
    <row r="10" spans="1:8" ht="77.25" customHeight="1" x14ac:dyDescent="0.25">
      <c r="A10" s="14" t="s">
        <v>820</v>
      </c>
      <c r="B10" s="14" t="s">
        <v>821</v>
      </c>
      <c r="C10" s="15" t="s">
        <v>828</v>
      </c>
      <c r="D10" s="16" t="s">
        <v>829</v>
      </c>
      <c r="E10" s="17">
        <v>2</v>
      </c>
      <c r="F10" s="18" t="s">
        <v>93</v>
      </c>
      <c r="G10" s="16" t="s">
        <v>1256</v>
      </c>
      <c r="H10" s="16" t="s">
        <v>1249</v>
      </c>
    </row>
    <row r="11" spans="1:8" ht="75" x14ac:dyDescent="0.25">
      <c r="A11" s="19" t="s">
        <v>820</v>
      </c>
      <c r="B11" s="19" t="s">
        <v>821</v>
      </c>
      <c r="C11" s="20" t="s">
        <v>830</v>
      </c>
      <c r="D11" s="21" t="s">
        <v>831</v>
      </c>
      <c r="E11" s="17">
        <v>2</v>
      </c>
      <c r="F11" s="18" t="s">
        <v>120</v>
      </c>
      <c r="G11" s="21" t="s">
        <v>832</v>
      </c>
      <c r="H11" s="21" t="s">
        <v>825</v>
      </c>
    </row>
    <row r="12" spans="1:8" ht="45" x14ac:dyDescent="0.25">
      <c r="A12" s="14" t="s">
        <v>820</v>
      </c>
      <c r="B12" s="14" t="s">
        <v>821</v>
      </c>
      <c r="C12" s="15" t="s">
        <v>833</v>
      </c>
      <c r="D12" s="16" t="s">
        <v>834</v>
      </c>
      <c r="E12" s="17">
        <v>2</v>
      </c>
      <c r="F12" s="18" t="s">
        <v>120</v>
      </c>
      <c r="G12" s="16" t="s">
        <v>832</v>
      </c>
      <c r="H12" s="16" t="s">
        <v>825</v>
      </c>
    </row>
    <row r="13" spans="1:8" ht="75" x14ac:dyDescent="0.25">
      <c r="A13" s="19" t="s">
        <v>820</v>
      </c>
      <c r="B13" s="19" t="s">
        <v>821</v>
      </c>
      <c r="C13" s="20" t="s">
        <v>835</v>
      </c>
      <c r="D13" s="21" t="s">
        <v>836</v>
      </c>
      <c r="E13" s="23">
        <v>3</v>
      </c>
      <c r="F13" s="18" t="s">
        <v>93</v>
      </c>
      <c r="G13" s="21" t="s">
        <v>1257</v>
      </c>
      <c r="H13" s="21" t="s">
        <v>1258</v>
      </c>
    </row>
    <row r="14" spans="1:8" ht="18" customHeight="1" x14ac:dyDescent="0.25">
      <c r="A14" s="13" t="s">
        <v>837</v>
      </c>
      <c r="B14" s="13" t="s">
        <v>838</v>
      </c>
      <c r="C14" s="13"/>
      <c r="D14" s="13"/>
      <c r="E14" s="13"/>
      <c r="F14" s="13"/>
      <c r="G14" s="13"/>
      <c r="H14" s="13"/>
    </row>
    <row r="15" spans="1:8" ht="120" x14ac:dyDescent="0.25">
      <c r="A15" s="14" t="s">
        <v>837</v>
      </c>
      <c r="B15" s="14" t="s">
        <v>838</v>
      </c>
      <c r="C15" s="15" t="s">
        <v>839</v>
      </c>
      <c r="D15" s="16" t="s">
        <v>840</v>
      </c>
      <c r="E15" s="17">
        <v>2</v>
      </c>
      <c r="F15" s="18" t="s">
        <v>93</v>
      </c>
      <c r="G15" s="16" t="s">
        <v>1259</v>
      </c>
      <c r="H15" s="16" t="s">
        <v>1260</v>
      </c>
    </row>
    <row r="16" spans="1:8" ht="30" customHeight="1" x14ac:dyDescent="0.25">
      <c r="A16" s="19" t="s">
        <v>837</v>
      </c>
      <c r="B16" s="19" t="s">
        <v>838</v>
      </c>
      <c r="C16" s="20" t="s">
        <v>842</v>
      </c>
      <c r="D16" s="21" t="s">
        <v>843</v>
      </c>
      <c r="E16" s="17">
        <v>2</v>
      </c>
      <c r="F16" s="18" t="s">
        <v>120</v>
      </c>
      <c r="G16" s="21" t="s">
        <v>841</v>
      </c>
      <c r="H16" s="21" t="s">
        <v>185</v>
      </c>
    </row>
    <row r="17" spans="1:8" ht="30" customHeight="1" x14ac:dyDescent="0.25">
      <c r="A17" s="14" t="s">
        <v>837</v>
      </c>
      <c r="B17" s="14" t="s">
        <v>838</v>
      </c>
      <c r="C17" s="15" t="s">
        <v>844</v>
      </c>
      <c r="D17" s="16" t="s">
        <v>845</v>
      </c>
      <c r="E17" s="23">
        <v>3</v>
      </c>
      <c r="F17" s="18" t="s">
        <v>120</v>
      </c>
      <c r="G17" s="16" t="s">
        <v>846</v>
      </c>
      <c r="H17" s="16" t="s">
        <v>185</v>
      </c>
    </row>
    <row r="18" spans="1:8" ht="30" customHeight="1" x14ac:dyDescent="0.25">
      <c r="A18" s="19" t="s">
        <v>837</v>
      </c>
      <c r="B18" s="19" t="s">
        <v>838</v>
      </c>
      <c r="C18" s="20" t="s">
        <v>847</v>
      </c>
      <c r="D18" s="21" t="s">
        <v>848</v>
      </c>
      <c r="E18" s="23">
        <v>3</v>
      </c>
      <c r="F18" s="18" t="s">
        <v>120</v>
      </c>
      <c r="G18" s="21" t="s">
        <v>841</v>
      </c>
      <c r="H18" s="21" t="s">
        <v>185</v>
      </c>
    </row>
    <row r="19" spans="1:8" ht="18" customHeight="1" x14ac:dyDescent="0.25">
      <c r="A19" s="13" t="s">
        <v>849</v>
      </c>
      <c r="B19" s="13" t="s">
        <v>850</v>
      </c>
      <c r="C19" s="13"/>
      <c r="D19" s="13"/>
      <c r="E19" s="13"/>
      <c r="F19" s="13"/>
      <c r="G19" s="13"/>
      <c r="H19" s="13"/>
    </row>
    <row r="20" spans="1:8" ht="60" x14ac:dyDescent="0.25">
      <c r="A20" s="14" t="s">
        <v>849</v>
      </c>
      <c r="B20" s="14" t="s">
        <v>850</v>
      </c>
      <c r="C20" s="15" t="s">
        <v>851</v>
      </c>
      <c r="D20" s="16" t="s">
        <v>852</v>
      </c>
      <c r="E20" s="22">
        <v>1</v>
      </c>
      <c r="F20" s="18" t="s">
        <v>93</v>
      </c>
      <c r="G20" s="16" t="s">
        <v>1261</v>
      </c>
      <c r="H20" s="16" t="s">
        <v>853</v>
      </c>
    </row>
    <row r="21" spans="1:8" ht="45" x14ac:dyDescent="0.25">
      <c r="A21" s="19" t="s">
        <v>849</v>
      </c>
      <c r="B21" s="19" t="s">
        <v>850</v>
      </c>
      <c r="C21" s="20" t="s">
        <v>854</v>
      </c>
      <c r="D21" s="21" t="s">
        <v>855</v>
      </c>
      <c r="E21" s="17">
        <v>2</v>
      </c>
      <c r="F21" s="18" t="s">
        <v>178</v>
      </c>
      <c r="G21" s="21" t="s">
        <v>1262</v>
      </c>
      <c r="H21" s="21" t="s">
        <v>1263</v>
      </c>
    </row>
    <row r="22" spans="1:8" ht="60" x14ac:dyDescent="0.25">
      <c r="A22" s="14" t="s">
        <v>849</v>
      </c>
      <c r="B22" s="14" t="s">
        <v>850</v>
      </c>
      <c r="C22" s="15" t="s">
        <v>856</v>
      </c>
      <c r="D22" s="16" t="s">
        <v>857</v>
      </c>
      <c r="E22" s="17">
        <v>2</v>
      </c>
      <c r="F22" s="18" t="s">
        <v>93</v>
      </c>
      <c r="G22" s="16" t="s">
        <v>1264</v>
      </c>
      <c r="H22" s="16" t="s">
        <v>1265</v>
      </c>
    </row>
    <row r="23" spans="1:8" ht="45" x14ac:dyDescent="0.25">
      <c r="A23" s="19" t="s">
        <v>849</v>
      </c>
      <c r="B23" s="19" t="s">
        <v>850</v>
      </c>
      <c r="C23" s="20" t="s">
        <v>858</v>
      </c>
      <c r="D23" s="21" t="s">
        <v>859</v>
      </c>
      <c r="E23" s="17">
        <v>2</v>
      </c>
      <c r="F23" s="18" t="s">
        <v>93</v>
      </c>
      <c r="G23" s="21" t="s">
        <v>1266</v>
      </c>
      <c r="H23" s="21" t="s">
        <v>1267</v>
      </c>
    </row>
    <row r="24" spans="1:8" ht="60" x14ac:dyDescent="0.25">
      <c r="A24" s="14" t="s">
        <v>849</v>
      </c>
      <c r="B24" s="14" t="s">
        <v>850</v>
      </c>
      <c r="C24" s="15" t="s">
        <v>860</v>
      </c>
      <c r="D24" s="16" t="s">
        <v>861</v>
      </c>
      <c r="E24" s="17">
        <v>2</v>
      </c>
      <c r="F24" s="18" t="s">
        <v>93</v>
      </c>
      <c r="G24" s="16" t="s">
        <v>1268</v>
      </c>
      <c r="H24" s="16" t="s">
        <v>1269</v>
      </c>
    </row>
    <row r="25" spans="1:8" ht="60" x14ac:dyDescent="0.25">
      <c r="A25" s="19" t="s">
        <v>849</v>
      </c>
      <c r="B25" s="19" t="s">
        <v>850</v>
      </c>
      <c r="C25" s="20" t="s">
        <v>863</v>
      </c>
      <c r="D25" s="21" t="s">
        <v>864</v>
      </c>
      <c r="E25" s="23">
        <v>3</v>
      </c>
      <c r="F25" s="18" t="s">
        <v>93</v>
      </c>
      <c r="G25" s="21" t="s">
        <v>1270</v>
      </c>
      <c r="H25" s="21" t="s">
        <v>1271</v>
      </c>
    </row>
    <row r="26" spans="1:8" ht="60" x14ac:dyDescent="0.25">
      <c r="A26" s="14" t="s">
        <v>849</v>
      </c>
      <c r="B26" s="14" t="s">
        <v>850</v>
      </c>
      <c r="C26" s="15" t="s">
        <v>865</v>
      </c>
      <c r="D26" s="16" t="s">
        <v>866</v>
      </c>
      <c r="E26" s="23">
        <v>3</v>
      </c>
      <c r="F26" s="18" t="s">
        <v>93</v>
      </c>
      <c r="G26" s="16" t="s">
        <v>1272</v>
      </c>
      <c r="H26" s="16" t="s">
        <v>1273</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E00-000000000000}">
      <formula1>"Not Started,In Progress,Compliant,Not Applicable"</formula1>
      <formula2>0</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7"/>
  <sheetViews>
    <sheetView zoomScale="80" zoomScaleNormal="80" workbookViewId="0">
      <selection activeCell="F3" sqref="F3"/>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867</v>
      </c>
      <c r="B2" s="13" t="s">
        <v>868</v>
      </c>
      <c r="C2" s="13"/>
      <c r="D2" s="13"/>
      <c r="E2" s="13"/>
      <c r="F2" s="13"/>
      <c r="G2" s="13"/>
      <c r="H2" s="13"/>
    </row>
    <row r="3" spans="1:8" ht="105" x14ac:dyDescent="0.25">
      <c r="A3" s="14" t="s">
        <v>867</v>
      </c>
      <c r="B3" s="14" t="s">
        <v>868</v>
      </c>
      <c r="C3" s="15" t="s">
        <v>869</v>
      </c>
      <c r="D3" s="16" t="s">
        <v>870</v>
      </c>
      <c r="E3" s="17">
        <v>2</v>
      </c>
      <c r="F3" s="18" t="s">
        <v>93</v>
      </c>
      <c r="G3" s="16" t="s">
        <v>1274</v>
      </c>
      <c r="H3" s="16" t="s">
        <v>1275</v>
      </c>
    </row>
    <row r="4" spans="1:8" ht="105" x14ac:dyDescent="0.25">
      <c r="A4" s="19" t="s">
        <v>867</v>
      </c>
      <c r="B4" s="19" t="s">
        <v>868</v>
      </c>
      <c r="C4" s="20" t="s">
        <v>871</v>
      </c>
      <c r="D4" s="21" t="s">
        <v>872</v>
      </c>
      <c r="E4" s="17">
        <v>2</v>
      </c>
      <c r="F4" s="18" t="s">
        <v>93</v>
      </c>
      <c r="G4" s="21" t="s">
        <v>1276</v>
      </c>
      <c r="H4" s="21" t="s">
        <v>1277</v>
      </c>
    </row>
    <row r="5" spans="1:8" ht="18" customHeight="1" x14ac:dyDescent="0.25">
      <c r="A5" s="13" t="s">
        <v>873</v>
      </c>
      <c r="B5" s="13" t="s">
        <v>874</v>
      </c>
      <c r="C5" s="13"/>
      <c r="D5" s="13"/>
      <c r="E5" s="13"/>
      <c r="F5" s="13"/>
      <c r="G5" s="13"/>
      <c r="H5" s="13"/>
    </row>
    <row r="6" spans="1:8" ht="74.25" customHeight="1" x14ac:dyDescent="0.25">
      <c r="A6" s="14" t="s">
        <v>873</v>
      </c>
      <c r="B6" s="14" t="s">
        <v>874</v>
      </c>
      <c r="C6" s="15" t="s">
        <v>875</v>
      </c>
      <c r="D6" s="16" t="s">
        <v>876</v>
      </c>
      <c r="E6" s="22">
        <v>1</v>
      </c>
      <c r="F6" s="18" t="s">
        <v>93</v>
      </c>
      <c r="G6" s="16" t="s">
        <v>1278</v>
      </c>
      <c r="H6" s="16" t="s">
        <v>1279</v>
      </c>
    </row>
    <row r="7" spans="1:8" ht="75" x14ac:dyDescent="0.25">
      <c r="A7" s="19" t="s">
        <v>873</v>
      </c>
      <c r="B7" s="19" t="s">
        <v>874</v>
      </c>
      <c r="C7" s="20" t="s">
        <v>878</v>
      </c>
      <c r="D7" s="21" t="s">
        <v>879</v>
      </c>
      <c r="E7" s="17">
        <v>2</v>
      </c>
      <c r="F7" s="18" t="s">
        <v>93</v>
      </c>
      <c r="G7" s="21" t="s">
        <v>1280</v>
      </c>
      <c r="H7" s="21" t="s">
        <v>1281</v>
      </c>
    </row>
    <row r="8" spans="1:8" ht="63" customHeight="1" x14ac:dyDescent="0.25">
      <c r="A8" s="14" t="s">
        <v>873</v>
      </c>
      <c r="B8" s="14" t="s">
        <v>874</v>
      </c>
      <c r="C8" s="15" t="s">
        <v>881</v>
      </c>
      <c r="D8" s="16" t="s">
        <v>882</v>
      </c>
      <c r="E8" s="17">
        <v>2</v>
      </c>
      <c r="F8" s="18" t="s">
        <v>178</v>
      </c>
      <c r="G8" s="16" t="s">
        <v>1282</v>
      </c>
      <c r="H8" s="16" t="s">
        <v>1283</v>
      </c>
    </row>
    <row r="9" spans="1:8" ht="75" x14ac:dyDescent="0.25">
      <c r="A9" s="19" t="s">
        <v>873</v>
      </c>
      <c r="B9" s="19" t="s">
        <v>874</v>
      </c>
      <c r="C9" s="20" t="s">
        <v>883</v>
      </c>
      <c r="D9" s="21" t="s">
        <v>884</v>
      </c>
      <c r="E9" s="17">
        <v>2</v>
      </c>
      <c r="F9" s="18" t="s">
        <v>93</v>
      </c>
      <c r="G9" s="21" t="s">
        <v>1284</v>
      </c>
      <c r="H9" s="21" t="s">
        <v>1285</v>
      </c>
    </row>
    <row r="10" spans="1:8" ht="90" x14ac:dyDescent="0.25">
      <c r="A10" s="14" t="s">
        <v>873</v>
      </c>
      <c r="B10" s="14" t="s">
        <v>874</v>
      </c>
      <c r="C10" s="15" t="s">
        <v>885</v>
      </c>
      <c r="D10" s="16" t="s">
        <v>886</v>
      </c>
      <c r="E10" s="23">
        <v>3</v>
      </c>
      <c r="F10" s="18" t="s">
        <v>93</v>
      </c>
      <c r="G10" s="16" t="s">
        <v>1286</v>
      </c>
      <c r="H10" s="16" t="s">
        <v>1289</v>
      </c>
    </row>
    <row r="11" spans="1:8" ht="75" x14ac:dyDescent="0.25">
      <c r="A11" s="19" t="s">
        <v>873</v>
      </c>
      <c r="B11" s="19" t="s">
        <v>874</v>
      </c>
      <c r="C11" s="20" t="s">
        <v>887</v>
      </c>
      <c r="D11" s="21" t="s">
        <v>888</v>
      </c>
      <c r="E11" s="23">
        <v>3</v>
      </c>
      <c r="F11" s="18" t="s">
        <v>93</v>
      </c>
      <c r="G11" s="21" t="s">
        <v>1287</v>
      </c>
      <c r="H11" s="21" t="s">
        <v>1288</v>
      </c>
    </row>
    <row r="12" spans="1:8" ht="60" x14ac:dyDescent="0.25">
      <c r="A12" s="14" t="s">
        <v>873</v>
      </c>
      <c r="B12" s="14" t="s">
        <v>874</v>
      </c>
      <c r="C12" s="15" t="s">
        <v>890</v>
      </c>
      <c r="D12" s="16" t="s">
        <v>891</v>
      </c>
      <c r="E12" s="23">
        <v>3</v>
      </c>
      <c r="F12" s="18" t="s">
        <v>120</v>
      </c>
      <c r="G12" s="16" t="s">
        <v>892</v>
      </c>
      <c r="H12" s="16" t="s">
        <v>889</v>
      </c>
    </row>
    <row r="13" spans="1:8" ht="45" x14ac:dyDescent="0.25">
      <c r="A13" s="19" t="s">
        <v>873</v>
      </c>
      <c r="B13" s="19" t="s">
        <v>874</v>
      </c>
      <c r="C13" s="20" t="s">
        <v>893</v>
      </c>
      <c r="D13" s="21" t="s">
        <v>894</v>
      </c>
      <c r="E13" s="23">
        <v>3</v>
      </c>
      <c r="F13" s="18" t="s">
        <v>120</v>
      </c>
      <c r="G13" s="21" t="s">
        <v>895</v>
      </c>
      <c r="H13" s="21" t="s">
        <v>877</v>
      </c>
    </row>
    <row r="14" spans="1:8" ht="18" customHeight="1" x14ac:dyDescent="0.25">
      <c r="A14" s="13" t="s">
        <v>896</v>
      </c>
      <c r="B14" s="13" t="s">
        <v>897</v>
      </c>
      <c r="C14" s="13"/>
      <c r="D14" s="13"/>
      <c r="E14" s="13"/>
      <c r="F14" s="13"/>
      <c r="G14" s="13"/>
      <c r="H14" s="13"/>
    </row>
    <row r="15" spans="1:8" ht="90" x14ac:dyDescent="0.25">
      <c r="A15" s="14" t="s">
        <v>896</v>
      </c>
      <c r="B15" s="14" t="s">
        <v>897</v>
      </c>
      <c r="C15" s="15" t="s">
        <v>898</v>
      </c>
      <c r="D15" s="16" t="s">
        <v>899</v>
      </c>
      <c r="E15" s="22">
        <v>1</v>
      </c>
      <c r="F15" s="18" t="s">
        <v>12</v>
      </c>
      <c r="G15" s="16" t="s">
        <v>900</v>
      </c>
      <c r="H15" s="16" t="s">
        <v>211</v>
      </c>
    </row>
    <row r="16" spans="1:8" ht="75" x14ac:dyDescent="0.25">
      <c r="A16" s="19" t="s">
        <v>896</v>
      </c>
      <c r="B16" s="19" t="s">
        <v>897</v>
      </c>
      <c r="C16" s="20" t="s">
        <v>901</v>
      </c>
      <c r="D16" s="21" t="s">
        <v>902</v>
      </c>
      <c r="E16" s="17">
        <v>2</v>
      </c>
      <c r="F16" s="18" t="s">
        <v>120</v>
      </c>
      <c r="G16" s="21" t="s">
        <v>903</v>
      </c>
      <c r="H16" s="21" t="s">
        <v>880</v>
      </c>
    </row>
    <row r="17" spans="1:8" ht="75" x14ac:dyDescent="0.25">
      <c r="A17" s="14" t="s">
        <v>896</v>
      </c>
      <c r="B17" s="14" t="s">
        <v>897</v>
      </c>
      <c r="C17" s="15" t="s">
        <v>904</v>
      </c>
      <c r="D17" s="16" t="s">
        <v>905</v>
      </c>
      <c r="E17" s="17">
        <v>2</v>
      </c>
      <c r="F17" s="18" t="s">
        <v>120</v>
      </c>
      <c r="G17" s="16" t="s">
        <v>903</v>
      </c>
      <c r="H17" s="16" t="s">
        <v>877</v>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F00-000000000000}">
      <formula1>"Not Started,In Progress,Compliant,Not Applicable"</formula1>
      <formula2>0</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6"/>
  <sheetViews>
    <sheetView topLeftCell="A18" zoomScale="80" zoomScaleNormal="80" workbookViewId="0">
      <selection activeCell="G30" sqref="G30"/>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33" t="s">
        <v>0</v>
      </c>
      <c r="B1" s="12" t="s">
        <v>1</v>
      </c>
      <c r="C1" s="12" t="s">
        <v>2</v>
      </c>
      <c r="D1" s="12" t="s">
        <v>3</v>
      </c>
      <c r="E1" s="12" t="s">
        <v>4</v>
      </c>
      <c r="F1" s="12" t="s">
        <v>5</v>
      </c>
      <c r="G1" s="12" t="s">
        <v>6</v>
      </c>
      <c r="H1" s="12" t="s">
        <v>7</v>
      </c>
    </row>
    <row r="2" spans="1:8" ht="18" customHeight="1" x14ac:dyDescent="0.25">
      <c r="A2" s="13" t="s">
        <v>906</v>
      </c>
      <c r="B2" s="13" t="s">
        <v>907</v>
      </c>
      <c r="C2" s="13"/>
      <c r="D2" s="13"/>
      <c r="E2" s="13"/>
      <c r="F2" s="13"/>
      <c r="G2" s="13"/>
      <c r="H2" s="13"/>
    </row>
    <row r="3" spans="1:8" ht="60" x14ac:dyDescent="0.25">
      <c r="A3" s="14" t="s">
        <v>906</v>
      </c>
      <c r="B3" s="14" t="s">
        <v>907</v>
      </c>
      <c r="C3" s="15" t="s">
        <v>908</v>
      </c>
      <c r="D3" s="16" t="s">
        <v>909</v>
      </c>
      <c r="E3" s="22">
        <v>1</v>
      </c>
      <c r="F3" s="18" t="s">
        <v>120</v>
      </c>
      <c r="G3" s="16" t="s">
        <v>910</v>
      </c>
      <c r="H3" s="16" t="s">
        <v>121</v>
      </c>
    </row>
    <row r="4" spans="1:8" ht="75" x14ac:dyDescent="0.25">
      <c r="A4" s="19" t="s">
        <v>906</v>
      </c>
      <c r="B4" s="19" t="s">
        <v>907</v>
      </c>
      <c r="C4" s="20" t="s">
        <v>911</v>
      </c>
      <c r="D4" s="21" t="s">
        <v>912</v>
      </c>
      <c r="E4" s="17">
        <v>2</v>
      </c>
      <c r="F4" s="18" t="s">
        <v>93</v>
      </c>
      <c r="G4" s="21" t="s">
        <v>1290</v>
      </c>
      <c r="H4" s="21" t="s">
        <v>1291</v>
      </c>
    </row>
    <row r="5" spans="1:8" ht="120" x14ac:dyDescent="0.25">
      <c r="A5" s="14" t="s">
        <v>906</v>
      </c>
      <c r="B5" s="14" t="s">
        <v>907</v>
      </c>
      <c r="C5" s="15" t="s">
        <v>913</v>
      </c>
      <c r="D5" s="16" t="s">
        <v>914</v>
      </c>
      <c r="E5" s="17">
        <v>2</v>
      </c>
      <c r="F5" s="18" t="s">
        <v>93</v>
      </c>
      <c r="G5" s="16" t="s">
        <v>1292</v>
      </c>
      <c r="H5" s="16" t="s">
        <v>1293</v>
      </c>
    </row>
    <row r="6" spans="1:8" ht="45" x14ac:dyDescent="0.25">
      <c r="A6" s="19" t="s">
        <v>906</v>
      </c>
      <c r="B6" s="19" t="s">
        <v>907</v>
      </c>
      <c r="C6" s="20" t="s">
        <v>915</v>
      </c>
      <c r="D6" s="21" t="s">
        <v>916</v>
      </c>
      <c r="E6" s="23">
        <v>3</v>
      </c>
      <c r="F6" s="18" t="s">
        <v>93</v>
      </c>
      <c r="G6" s="21" t="s">
        <v>1294</v>
      </c>
      <c r="H6" s="21" t="s">
        <v>1291</v>
      </c>
    </row>
    <row r="7" spans="1:8" ht="95.25" customHeight="1" x14ac:dyDescent="0.25">
      <c r="A7" s="14" t="s">
        <v>906</v>
      </c>
      <c r="B7" s="14" t="s">
        <v>907</v>
      </c>
      <c r="C7" s="15" t="s">
        <v>917</v>
      </c>
      <c r="D7" s="16" t="s">
        <v>918</v>
      </c>
      <c r="E7" s="23">
        <v>3</v>
      </c>
      <c r="F7" s="18" t="s">
        <v>93</v>
      </c>
      <c r="G7" s="16" t="s">
        <v>1295</v>
      </c>
      <c r="H7" s="16" t="s">
        <v>1296</v>
      </c>
    </row>
    <row r="8" spans="1:8" ht="18" customHeight="1" x14ac:dyDescent="0.25">
      <c r="A8" s="13" t="s">
        <v>919</v>
      </c>
      <c r="B8" s="13" t="s">
        <v>920</v>
      </c>
      <c r="C8" s="13"/>
      <c r="D8" s="13"/>
      <c r="E8" s="13"/>
      <c r="F8" s="13"/>
      <c r="G8" s="13"/>
      <c r="H8" s="13"/>
    </row>
    <row r="9" spans="1:8" ht="92.25" customHeight="1" x14ac:dyDescent="0.25">
      <c r="A9" s="14" t="s">
        <v>919</v>
      </c>
      <c r="B9" s="14" t="s">
        <v>920</v>
      </c>
      <c r="C9" s="15" t="s">
        <v>921</v>
      </c>
      <c r="D9" s="16" t="s">
        <v>922</v>
      </c>
      <c r="E9" s="22">
        <v>1</v>
      </c>
      <c r="F9" s="18" t="s">
        <v>93</v>
      </c>
      <c r="G9" s="16" t="s">
        <v>1295</v>
      </c>
      <c r="H9" s="16" t="s">
        <v>1296</v>
      </c>
    </row>
    <row r="10" spans="1:8" ht="60" x14ac:dyDescent="0.25">
      <c r="A10" s="19" t="s">
        <v>919</v>
      </c>
      <c r="B10" s="19" t="s">
        <v>920</v>
      </c>
      <c r="C10" s="20" t="s">
        <v>923</v>
      </c>
      <c r="D10" s="21" t="s">
        <v>924</v>
      </c>
      <c r="E10" s="17">
        <v>2</v>
      </c>
      <c r="F10" s="18" t="s">
        <v>93</v>
      </c>
      <c r="G10" s="21" t="s">
        <v>1297</v>
      </c>
      <c r="H10" s="21" t="s">
        <v>1298</v>
      </c>
    </row>
    <row r="11" spans="1:8" ht="60" x14ac:dyDescent="0.25">
      <c r="A11" s="14" t="s">
        <v>919</v>
      </c>
      <c r="B11" s="14" t="s">
        <v>920</v>
      </c>
      <c r="C11" s="15" t="s">
        <v>925</v>
      </c>
      <c r="D11" s="16" t="s">
        <v>926</v>
      </c>
      <c r="E11" s="17">
        <v>2</v>
      </c>
      <c r="F11" s="18" t="s">
        <v>93</v>
      </c>
      <c r="G11" s="16" t="s">
        <v>1299</v>
      </c>
      <c r="H11" s="16" t="s">
        <v>1161</v>
      </c>
    </row>
    <row r="12" spans="1:8" ht="75" x14ac:dyDescent="0.25">
      <c r="A12" s="19" t="s">
        <v>919</v>
      </c>
      <c r="B12" s="19" t="s">
        <v>920</v>
      </c>
      <c r="C12" s="20" t="s">
        <v>927</v>
      </c>
      <c r="D12" s="21" t="s">
        <v>928</v>
      </c>
      <c r="E12" s="23">
        <v>3</v>
      </c>
      <c r="F12" s="18" t="s">
        <v>93</v>
      </c>
      <c r="G12" s="21" t="s">
        <v>1300</v>
      </c>
      <c r="H12" s="21" t="s">
        <v>1291</v>
      </c>
    </row>
    <row r="13" spans="1:8" ht="120" x14ac:dyDescent="0.25">
      <c r="A13" s="14" t="s">
        <v>919</v>
      </c>
      <c r="B13" s="14" t="s">
        <v>920</v>
      </c>
      <c r="C13" s="15" t="s">
        <v>929</v>
      </c>
      <c r="D13" s="16" t="s">
        <v>930</v>
      </c>
      <c r="E13" s="23">
        <v>3</v>
      </c>
      <c r="F13" s="18" t="s">
        <v>178</v>
      </c>
      <c r="G13" s="16" t="s">
        <v>1301</v>
      </c>
      <c r="H13" s="16" t="s">
        <v>1302</v>
      </c>
    </row>
    <row r="14" spans="1:8" ht="18" customHeight="1" x14ac:dyDescent="0.25">
      <c r="A14" s="13" t="s">
        <v>931</v>
      </c>
      <c r="B14" s="13" t="s">
        <v>932</v>
      </c>
      <c r="C14" s="13"/>
      <c r="D14" s="13"/>
      <c r="E14" s="13"/>
      <c r="F14" s="13"/>
      <c r="G14" s="13"/>
      <c r="H14" s="13"/>
    </row>
    <row r="15" spans="1:8" ht="60" x14ac:dyDescent="0.25">
      <c r="A15" s="14" t="s">
        <v>931</v>
      </c>
      <c r="B15" s="14" t="s">
        <v>932</v>
      </c>
      <c r="C15" s="15" t="s">
        <v>933</v>
      </c>
      <c r="D15" s="16" t="s">
        <v>934</v>
      </c>
      <c r="E15" s="22">
        <v>1</v>
      </c>
      <c r="F15" s="18" t="s">
        <v>93</v>
      </c>
      <c r="G15" s="16" t="s">
        <v>1303</v>
      </c>
      <c r="H15" s="16" t="s">
        <v>1304</v>
      </c>
    </row>
    <row r="16" spans="1:8" ht="45" x14ac:dyDescent="0.25">
      <c r="A16" s="19" t="s">
        <v>931</v>
      </c>
      <c r="B16" s="19" t="s">
        <v>932</v>
      </c>
      <c r="C16" s="20" t="s">
        <v>935</v>
      </c>
      <c r="D16" s="21" t="s">
        <v>936</v>
      </c>
      <c r="E16" s="17">
        <v>2</v>
      </c>
      <c r="F16" s="18" t="s">
        <v>12</v>
      </c>
      <c r="G16" s="21" t="s">
        <v>100</v>
      </c>
      <c r="H16" s="21" t="s">
        <v>101</v>
      </c>
    </row>
    <row r="17" spans="1:8" ht="60" x14ac:dyDescent="0.25">
      <c r="A17" s="14" t="s">
        <v>931</v>
      </c>
      <c r="B17" s="14" t="s">
        <v>932</v>
      </c>
      <c r="C17" s="15" t="s">
        <v>937</v>
      </c>
      <c r="D17" s="16" t="s">
        <v>938</v>
      </c>
      <c r="E17" s="17">
        <v>2</v>
      </c>
      <c r="F17" s="18" t="s">
        <v>178</v>
      </c>
      <c r="G17" s="16" t="s">
        <v>1305</v>
      </c>
      <c r="H17" s="16" t="s">
        <v>1306</v>
      </c>
    </row>
    <row r="18" spans="1:8" ht="105" x14ac:dyDescent="0.25">
      <c r="A18" s="19" t="s">
        <v>931</v>
      </c>
      <c r="B18" s="19" t="s">
        <v>932</v>
      </c>
      <c r="C18" s="20" t="s">
        <v>939</v>
      </c>
      <c r="D18" s="21" t="s">
        <v>940</v>
      </c>
      <c r="E18" s="17">
        <v>2</v>
      </c>
      <c r="F18" s="18" t="s">
        <v>93</v>
      </c>
      <c r="G18" s="21" t="s">
        <v>1307</v>
      </c>
      <c r="H18" s="21" t="s">
        <v>1308</v>
      </c>
    </row>
    <row r="19" spans="1:8" ht="75" x14ac:dyDescent="0.25">
      <c r="A19" s="14" t="s">
        <v>931</v>
      </c>
      <c r="B19" s="14" t="s">
        <v>932</v>
      </c>
      <c r="C19" s="15" t="s">
        <v>941</v>
      </c>
      <c r="D19" s="16" t="s">
        <v>942</v>
      </c>
      <c r="E19" s="17">
        <v>2</v>
      </c>
      <c r="F19" s="18" t="s">
        <v>93</v>
      </c>
      <c r="G19" s="16" t="s">
        <v>1309</v>
      </c>
      <c r="H19" s="16" t="s">
        <v>1310</v>
      </c>
    </row>
    <row r="20" spans="1:8" ht="30" customHeight="1" x14ac:dyDescent="0.25">
      <c r="A20" s="19" t="s">
        <v>931</v>
      </c>
      <c r="B20" s="19" t="s">
        <v>932</v>
      </c>
      <c r="C20" s="20" t="s">
        <v>943</v>
      </c>
      <c r="D20" s="21" t="s">
        <v>944</v>
      </c>
      <c r="E20" s="17">
        <v>2</v>
      </c>
      <c r="F20" s="18" t="s">
        <v>12</v>
      </c>
      <c r="G20" s="21" t="s">
        <v>100</v>
      </c>
      <c r="H20" s="21" t="s">
        <v>101</v>
      </c>
    </row>
    <row r="21" spans="1:8" ht="60" x14ac:dyDescent="0.25">
      <c r="A21" s="14" t="s">
        <v>931</v>
      </c>
      <c r="B21" s="14" t="s">
        <v>932</v>
      </c>
      <c r="C21" s="15" t="s">
        <v>945</v>
      </c>
      <c r="D21" s="16" t="s">
        <v>946</v>
      </c>
      <c r="E21" s="17">
        <v>2</v>
      </c>
      <c r="F21" s="18" t="s">
        <v>93</v>
      </c>
      <c r="G21" s="16" t="s">
        <v>1311</v>
      </c>
      <c r="H21" s="16" t="s">
        <v>1312</v>
      </c>
    </row>
    <row r="22" spans="1:8" ht="18" customHeight="1" x14ac:dyDescent="0.25">
      <c r="A22" s="13" t="s">
        <v>947</v>
      </c>
      <c r="B22" s="13" t="s">
        <v>948</v>
      </c>
      <c r="C22" s="13"/>
      <c r="D22" s="13"/>
      <c r="E22" s="13"/>
      <c r="F22" s="13"/>
      <c r="G22" s="13"/>
      <c r="H22" s="13"/>
    </row>
    <row r="23" spans="1:8" ht="75" x14ac:dyDescent="0.25">
      <c r="A23" s="14" t="s">
        <v>947</v>
      </c>
      <c r="B23" s="14" t="s">
        <v>948</v>
      </c>
      <c r="C23" s="15" t="s">
        <v>949</v>
      </c>
      <c r="D23" s="16" t="s">
        <v>950</v>
      </c>
      <c r="E23" s="23">
        <v>3</v>
      </c>
      <c r="F23" s="18" t="s">
        <v>93</v>
      </c>
      <c r="G23" s="16" t="s">
        <v>1313</v>
      </c>
      <c r="H23" s="16" t="s">
        <v>1314</v>
      </c>
    </row>
    <row r="24" spans="1:8" ht="90" x14ac:dyDescent="0.25">
      <c r="A24" s="19" t="s">
        <v>947</v>
      </c>
      <c r="B24" s="19" t="s">
        <v>948</v>
      </c>
      <c r="C24" s="20" t="s">
        <v>952</v>
      </c>
      <c r="D24" s="21" t="s">
        <v>953</v>
      </c>
      <c r="E24" s="23">
        <v>3</v>
      </c>
      <c r="F24" s="18" t="s">
        <v>93</v>
      </c>
      <c r="G24" s="21" t="s">
        <v>1315</v>
      </c>
      <c r="H24" s="21" t="s">
        <v>1316</v>
      </c>
    </row>
    <row r="25" spans="1:8" ht="75" x14ac:dyDescent="0.25">
      <c r="A25" s="14" t="s">
        <v>947</v>
      </c>
      <c r="B25" s="14" t="s">
        <v>948</v>
      </c>
      <c r="C25" s="15" t="s">
        <v>954</v>
      </c>
      <c r="D25" s="16" t="s">
        <v>955</v>
      </c>
      <c r="E25" s="23">
        <v>3</v>
      </c>
      <c r="F25" s="18" t="s">
        <v>93</v>
      </c>
      <c r="G25" s="16" t="s">
        <v>1317</v>
      </c>
      <c r="H25" s="16" t="s">
        <v>1318</v>
      </c>
    </row>
    <row r="26" spans="1:8" ht="60" x14ac:dyDescent="0.25">
      <c r="A26" s="19" t="s">
        <v>947</v>
      </c>
      <c r="B26" s="19" t="s">
        <v>948</v>
      </c>
      <c r="C26" s="20" t="s">
        <v>956</v>
      </c>
      <c r="D26" s="21" t="s">
        <v>957</v>
      </c>
      <c r="E26" s="23">
        <v>3</v>
      </c>
      <c r="F26" s="18" t="s">
        <v>93</v>
      </c>
      <c r="G26" s="21" t="s">
        <v>951</v>
      </c>
      <c r="H26" s="21" t="s">
        <v>335</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1000-000000000000}">
      <formula1>"Not Started,In Progress,Compliant,Not Applicable"</formula1>
      <formula2>0</formula2>
    </dataValidation>
  </dataValidation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3"/>
  <sheetViews>
    <sheetView topLeftCell="A12" zoomScale="80" zoomScaleNormal="80" workbookViewId="0">
      <selection activeCell="K23" sqref="K23"/>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958</v>
      </c>
      <c r="B2" s="13" t="s">
        <v>959</v>
      </c>
      <c r="C2" s="13"/>
      <c r="D2" s="13"/>
      <c r="E2" s="13"/>
      <c r="F2" s="13"/>
      <c r="G2" s="13"/>
      <c r="H2" s="13"/>
    </row>
    <row r="3" spans="1:8" ht="75" x14ac:dyDescent="0.25">
      <c r="A3" s="14" t="s">
        <v>958</v>
      </c>
      <c r="B3" s="14" t="s">
        <v>959</v>
      </c>
      <c r="C3" s="15" t="s">
        <v>960</v>
      </c>
      <c r="D3" s="16" t="s">
        <v>961</v>
      </c>
      <c r="E3" s="17">
        <v>2</v>
      </c>
      <c r="F3" s="18" t="s">
        <v>93</v>
      </c>
      <c r="G3" s="16" t="s">
        <v>1319</v>
      </c>
      <c r="H3" s="16" t="s">
        <v>1320</v>
      </c>
    </row>
    <row r="4" spans="1:8" ht="18" customHeight="1" x14ac:dyDescent="0.25">
      <c r="A4" s="13" t="s">
        <v>962</v>
      </c>
      <c r="B4" s="13" t="s">
        <v>963</v>
      </c>
      <c r="C4" s="13"/>
      <c r="D4" s="13"/>
      <c r="E4" s="13"/>
      <c r="F4" s="13"/>
      <c r="G4" s="13"/>
      <c r="H4" s="13"/>
    </row>
    <row r="5" spans="1:8" ht="60" x14ac:dyDescent="0.25">
      <c r="A5" s="14" t="s">
        <v>962</v>
      </c>
      <c r="B5" s="14" t="s">
        <v>963</v>
      </c>
      <c r="C5" s="15" t="s">
        <v>964</v>
      </c>
      <c r="D5" s="16" t="s">
        <v>965</v>
      </c>
      <c r="E5" s="17">
        <v>2</v>
      </c>
      <c r="F5" s="18" t="s">
        <v>178</v>
      </c>
      <c r="G5" s="16" t="s">
        <v>1321</v>
      </c>
      <c r="H5" s="16" t="s">
        <v>1322</v>
      </c>
    </row>
    <row r="6" spans="1:8" ht="75" x14ac:dyDescent="0.25">
      <c r="A6" s="19" t="s">
        <v>962</v>
      </c>
      <c r="B6" s="19" t="s">
        <v>963</v>
      </c>
      <c r="C6" s="20" t="s">
        <v>966</v>
      </c>
      <c r="D6" s="21" t="s">
        <v>967</v>
      </c>
      <c r="E6" s="17">
        <v>2</v>
      </c>
      <c r="F6" s="18" t="s">
        <v>93</v>
      </c>
      <c r="G6" s="21" t="s">
        <v>1323</v>
      </c>
      <c r="H6" s="21" t="s">
        <v>1324</v>
      </c>
    </row>
    <row r="7" spans="1:8" ht="63.75" customHeight="1" x14ac:dyDescent="0.25">
      <c r="A7" s="14" t="s">
        <v>962</v>
      </c>
      <c r="B7" s="14" t="s">
        <v>963</v>
      </c>
      <c r="C7" s="15" t="s">
        <v>968</v>
      </c>
      <c r="D7" s="16" t="s">
        <v>969</v>
      </c>
      <c r="E7" s="17">
        <v>2</v>
      </c>
      <c r="F7" s="18" t="s">
        <v>93</v>
      </c>
      <c r="G7" s="16" t="s">
        <v>1325</v>
      </c>
      <c r="H7" s="16" t="s">
        <v>1326</v>
      </c>
    </row>
    <row r="8" spans="1:8" ht="60" x14ac:dyDescent="0.25">
      <c r="A8" s="19" t="s">
        <v>962</v>
      </c>
      <c r="B8" s="19" t="s">
        <v>963</v>
      </c>
      <c r="C8" s="20" t="s">
        <v>970</v>
      </c>
      <c r="D8" s="21" t="s">
        <v>971</v>
      </c>
      <c r="E8" s="17">
        <v>2</v>
      </c>
      <c r="F8" s="18" t="s">
        <v>93</v>
      </c>
      <c r="G8" s="21" t="s">
        <v>1327</v>
      </c>
      <c r="H8" s="21" t="s">
        <v>1328</v>
      </c>
    </row>
    <row r="9" spans="1:8" ht="75" x14ac:dyDescent="0.25">
      <c r="A9" s="14" t="s">
        <v>962</v>
      </c>
      <c r="B9" s="14" t="s">
        <v>963</v>
      </c>
      <c r="C9" s="15" t="s">
        <v>972</v>
      </c>
      <c r="D9" s="16" t="s">
        <v>973</v>
      </c>
      <c r="E9" s="17">
        <v>2</v>
      </c>
      <c r="F9" s="18" t="s">
        <v>93</v>
      </c>
      <c r="G9" s="16" t="s">
        <v>1329</v>
      </c>
      <c r="H9" s="16" t="s">
        <v>1330</v>
      </c>
    </row>
    <row r="10" spans="1:8" ht="18" customHeight="1" x14ac:dyDescent="0.25">
      <c r="A10" s="13" t="s">
        <v>974</v>
      </c>
      <c r="B10" s="13" t="s">
        <v>975</v>
      </c>
      <c r="C10" s="13"/>
      <c r="D10" s="13"/>
      <c r="E10" s="13"/>
      <c r="F10" s="13"/>
      <c r="G10" s="13"/>
      <c r="H10" s="13"/>
    </row>
    <row r="11" spans="1:8" ht="60" x14ac:dyDescent="0.25">
      <c r="A11" s="14" t="s">
        <v>974</v>
      </c>
      <c r="B11" s="14" t="s">
        <v>975</v>
      </c>
      <c r="C11" s="15" t="s">
        <v>976</v>
      </c>
      <c r="D11" s="16" t="s">
        <v>977</v>
      </c>
      <c r="E11" s="17">
        <v>2</v>
      </c>
      <c r="F11" s="18" t="s">
        <v>93</v>
      </c>
      <c r="G11" s="16" t="s">
        <v>978</v>
      </c>
      <c r="H11" s="16" t="s">
        <v>1333</v>
      </c>
    </row>
    <row r="12" spans="1:8" ht="75" x14ac:dyDescent="0.25">
      <c r="A12" s="19" t="s">
        <v>974</v>
      </c>
      <c r="B12" s="19" t="s">
        <v>975</v>
      </c>
      <c r="C12" s="20" t="s">
        <v>979</v>
      </c>
      <c r="D12" s="21" t="s">
        <v>980</v>
      </c>
      <c r="E12" s="17">
        <v>2</v>
      </c>
      <c r="F12" s="18" t="s">
        <v>93</v>
      </c>
      <c r="G12" s="21" t="s">
        <v>1331</v>
      </c>
      <c r="H12" s="21" t="s">
        <v>1332</v>
      </c>
    </row>
    <row r="13" spans="1:8" ht="81" customHeight="1" x14ac:dyDescent="0.25">
      <c r="A13" s="14" t="s">
        <v>974</v>
      </c>
      <c r="B13" s="14" t="s">
        <v>975</v>
      </c>
      <c r="C13" s="15" t="s">
        <v>981</v>
      </c>
      <c r="D13" s="16" t="s">
        <v>982</v>
      </c>
      <c r="E13" s="17">
        <v>2</v>
      </c>
      <c r="F13" s="18" t="s">
        <v>178</v>
      </c>
      <c r="G13" s="16" t="s">
        <v>1334</v>
      </c>
      <c r="H13" s="16" t="s">
        <v>1335</v>
      </c>
    </row>
    <row r="14" spans="1:8" ht="45" x14ac:dyDescent="0.25">
      <c r="A14" s="19" t="s">
        <v>974</v>
      </c>
      <c r="B14" s="19" t="s">
        <v>975</v>
      </c>
      <c r="C14" s="20" t="s">
        <v>983</v>
      </c>
      <c r="D14" s="21" t="s">
        <v>984</v>
      </c>
      <c r="E14" s="17">
        <v>2</v>
      </c>
      <c r="F14" s="18" t="s">
        <v>93</v>
      </c>
      <c r="G14" s="21" t="s">
        <v>985</v>
      </c>
      <c r="H14" s="21" t="s">
        <v>1337</v>
      </c>
    </row>
    <row r="15" spans="1:8" ht="18" customHeight="1" x14ac:dyDescent="0.25">
      <c r="A15" s="13" t="s">
        <v>986</v>
      </c>
      <c r="B15" s="13" t="s">
        <v>987</v>
      </c>
      <c r="C15" s="13"/>
      <c r="D15" s="13"/>
      <c r="E15" s="13"/>
      <c r="F15" s="13"/>
      <c r="G15" s="13"/>
      <c r="H15" s="13"/>
    </row>
    <row r="16" spans="1:8" ht="45" x14ac:dyDescent="0.25">
      <c r="A16" s="14" t="s">
        <v>986</v>
      </c>
      <c r="B16" s="14" t="s">
        <v>987</v>
      </c>
      <c r="C16" s="15" t="s">
        <v>988</v>
      </c>
      <c r="D16" s="16" t="s">
        <v>989</v>
      </c>
      <c r="E16" s="17">
        <v>2</v>
      </c>
      <c r="F16" s="18" t="s">
        <v>93</v>
      </c>
      <c r="G16" s="16" t="s">
        <v>1338</v>
      </c>
      <c r="H16" s="16" t="s">
        <v>1339</v>
      </c>
    </row>
    <row r="17" spans="1:8" ht="75" x14ac:dyDescent="0.25">
      <c r="A17" s="19" t="s">
        <v>986</v>
      </c>
      <c r="B17" s="19" t="s">
        <v>987</v>
      </c>
      <c r="C17" s="20" t="s">
        <v>990</v>
      </c>
      <c r="D17" s="21" t="s">
        <v>991</v>
      </c>
      <c r="E17" s="17">
        <v>2</v>
      </c>
      <c r="F17" s="18" t="s">
        <v>93</v>
      </c>
      <c r="G17" s="21" t="s">
        <v>1340</v>
      </c>
      <c r="H17" s="21" t="s">
        <v>1341</v>
      </c>
    </row>
    <row r="18" spans="1:8" ht="30" customHeight="1" x14ac:dyDescent="0.25">
      <c r="A18" s="14" t="s">
        <v>986</v>
      </c>
      <c r="B18" s="14" t="s">
        <v>987</v>
      </c>
      <c r="C18" s="15" t="s">
        <v>992</v>
      </c>
      <c r="D18" s="16" t="s">
        <v>993</v>
      </c>
      <c r="E18" s="17">
        <v>2</v>
      </c>
      <c r="F18" s="18" t="s">
        <v>120</v>
      </c>
      <c r="G18" s="16" t="s">
        <v>1336</v>
      </c>
      <c r="H18" s="16" t="s">
        <v>862</v>
      </c>
    </row>
    <row r="19" spans="1:8" ht="18" customHeight="1" x14ac:dyDescent="0.25">
      <c r="A19" s="13" t="s">
        <v>994</v>
      </c>
      <c r="B19" s="13" t="s">
        <v>995</v>
      </c>
      <c r="C19" s="13"/>
      <c r="D19" s="13"/>
      <c r="E19" s="13"/>
      <c r="F19" s="13"/>
      <c r="G19" s="13"/>
      <c r="H19" s="13"/>
    </row>
    <row r="20" spans="1:8" ht="75" x14ac:dyDescent="0.25">
      <c r="A20" s="14" t="s">
        <v>994</v>
      </c>
      <c r="B20" s="14" t="s">
        <v>995</v>
      </c>
      <c r="C20" s="15" t="s">
        <v>996</v>
      </c>
      <c r="D20" s="16" t="s">
        <v>997</v>
      </c>
      <c r="E20" s="17">
        <v>2</v>
      </c>
      <c r="F20" s="18" t="s">
        <v>178</v>
      </c>
      <c r="G20" s="16" t="s">
        <v>1342</v>
      </c>
      <c r="H20" s="16" t="s">
        <v>1343</v>
      </c>
    </row>
    <row r="21" spans="1:8" ht="60" x14ac:dyDescent="0.25">
      <c r="A21" s="19" t="s">
        <v>994</v>
      </c>
      <c r="B21" s="19" t="s">
        <v>995</v>
      </c>
      <c r="C21" s="20" t="s">
        <v>998</v>
      </c>
      <c r="D21" s="21" t="s">
        <v>999</v>
      </c>
      <c r="E21" s="17">
        <v>2</v>
      </c>
      <c r="F21" s="18" t="s">
        <v>93</v>
      </c>
      <c r="G21" s="21" t="s">
        <v>1344</v>
      </c>
      <c r="H21" s="21" t="s">
        <v>1345</v>
      </c>
    </row>
    <row r="22" spans="1:8" ht="60" x14ac:dyDescent="0.25">
      <c r="A22" s="14" t="s">
        <v>994</v>
      </c>
      <c r="B22" s="14" t="s">
        <v>995</v>
      </c>
      <c r="C22" s="15" t="s">
        <v>1000</v>
      </c>
      <c r="D22" s="16" t="s">
        <v>1001</v>
      </c>
      <c r="E22" s="17">
        <v>2</v>
      </c>
      <c r="F22" s="18" t="s">
        <v>93</v>
      </c>
      <c r="G22" s="16" t="s">
        <v>1346</v>
      </c>
      <c r="H22" s="16" t="s">
        <v>1347</v>
      </c>
    </row>
    <row r="23" spans="1:8" ht="75" x14ac:dyDescent="0.25">
      <c r="A23" s="19" t="s">
        <v>994</v>
      </c>
      <c r="B23" s="19" t="s">
        <v>995</v>
      </c>
      <c r="C23" s="20" t="s">
        <v>1002</v>
      </c>
      <c r="D23" s="21" t="s">
        <v>1003</v>
      </c>
      <c r="E23" s="23">
        <v>3</v>
      </c>
      <c r="F23" s="18" t="s">
        <v>178</v>
      </c>
      <c r="G23" s="21" t="s">
        <v>1348</v>
      </c>
      <c r="H23" s="21" t="s">
        <v>1349</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100-000000000000}">
      <formula1>"Not Started,In Progress,Compliant,Not Applicable"</formula1>
      <formula2>0</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6"/>
  <sheetViews>
    <sheetView tabSelected="1" zoomScale="60" zoomScaleNormal="60" workbookViewId="0">
      <selection activeCell="L12" sqref="L12"/>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33" t="s">
        <v>0</v>
      </c>
      <c r="B1" s="12" t="s">
        <v>1</v>
      </c>
      <c r="C1" s="12" t="s">
        <v>2</v>
      </c>
      <c r="D1" s="12" t="s">
        <v>3</v>
      </c>
      <c r="E1" s="12" t="s">
        <v>4</v>
      </c>
      <c r="F1" s="12" t="s">
        <v>5</v>
      </c>
      <c r="G1" s="12" t="s">
        <v>6</v>
      </c>
      <c r="H1" s="12" t="s">
        <v>7</v>
      </c>
    </row>
    <row r="2" spans="1:8" ht="18" customHeight="1" x14ac:dyDescent="0.25">
      <c r="A2" s="13" t="s">
        <v>8</v>
      </c>
      <c r="B2" s="13" t="s">
        <v>9</v>
      </c>
      <c r="C2" s="13"/>
      <c r="D2" s="13"/>
      <c r="E2" s="13"/>
      <c r="F2" s="13"/>
      <c r="G2" s="13"/>
      <c r="H2" s="13"/>
    </row>
    <row r="3" spans="1:8" ht="60" customHeight="1" x14ac:dyDescent="0.25">
      <c r="A3" s="14" t="s">
        <v>8</v>
      </c>
      <c r="B3" s="14" t="s">
        <v>9</v>
      </c>
      <c r="C3" s="15" t="s">
        <v>10</v>
      </c>
      <c r="D3" s="16" t="s">
        <v>11</v>
      </c>
      <c r="E3" s="17">
        <v>2</v>
      </c>
      <c r="F3" s="18" t="s">
        <v>12</v>
      </c>
      <c r="G3" s="16" t="s">
        <v>13</v>
      </c>
      <c r="H3" s="16" t="s">
        <v>14</v>
      </c>
    </row>
    <row r="4" spans="1:8" ht="45" customHeight="1" x14ac:dyDescent="0.25">
      <c r="A4" s="19" t="s">
        <v>8</v>
      </c>
      <c r="B4" s="19" t="s">
        <v>9</v>
      </c>
      <c r="C4" s="20" t="s">
        <v>15</v>
      </c>
      <c r="D4" s="21" t="s">
        <v>16</v>
      </c>
      <c r="E4" s="23">
        <v>3</v>
      </c>
      <c r="F4" s="18" t="s">
        <v>12</v>
      </c>
      <c r="G4" s="21" t="s">
        <v>13</v>
      </c>
      <c r="H4" s="21" t="s">
        <v>14</v>
      </c>
    </row>
    <row r="5" spans="1:8" ht="18" customHeight="1" x14ac:dyDescent="0.25">
      <c r="A5" s="13" t="s">
        <v>17</v>
      </c>
      <c r="B5" s="13" t="s">
        <v>18</v>
      </c>
      <c r="C5" s="13"/>
      <c r="D5" s="13"/>
      <c r="E5" s="13"/>
      <c r="F5" s="13"/>
      <c r="G5" s="13"/>
      <c r="H5" s="13"/>
    </row>
    <row r="6" spans="1:8" ht="45" customHeight="1" x14ac:dyDescent="0.25">
      <c r="A6" s="14" t="s">
        <v>17</v>
      </c>
      <c r="B6" s="14" t="s">
        <v>18</v>
      </c>
      <c r="C6" s="15" t="s">
        <v>19</v>
      </c>
      <c r="D6" s="16" t="s">
        <v>20</v>
      </c>
      <c r="E6" s="17">
        <v>2</v>
      </c>
      <c r="F6" s="18" t="s">
        <v>12</v>
      </c>
      <c r="G6" s="16" t="s">
        <v>21</v>
      </c>
      <c r="H6" s="16" t="s">
        <v>14</v>
      </c>
    </row>
    <row r="7" spans="1:8" ht="75" customHeight="1" x14ac:dyDescent="0.25">
      <c r="A7" s="19" t="s">
        <v>17</v>
      </c>
      <c r="B7" s="19" t="s">
        <v>18</v>
      </c>
      <c r="C7" s="20" t="s">
        <v>22</v>
      </c>
      <c r="D7" s="21" t="s">
        <v>23</v>
      </c>
      <c r="E7" s="17">
        <v>2</v>
      </c>
      <c r="F7" s="18" t="s">
        <v>12</v>
      </c>
      <c r="G7" s="21" t="s">
        <v>21</v>
      </c>
      <c r="H7" s="21" t="s">
        <v>14</v>
      </c>
    </row>
    <row r="8" spans="1:8" ht="75" customHeight="1" x14ac:dyDescent="0.25">
      <c r="A8" s="14" t="s">
        <v>17</v>
      </c>
      <c r="B8" s="14" t="s">
        <v>18</v>
      </c>
      <c r="C8" s="15" t="s">
        <v>24</v>
      </c>
      <c r="D8" s="16" t="s">
        <v>25</v>
      </c>
      <c r="E8" s="17">
        <v>2</v>
      </c>
      <c r="F8" s="18" t="s">
        <v>12</v>
      </c>
      <c r="G8" s="16" t="s">
        <v>21</v>
      </c>
      <c r="H8" s="16" t="s">
        <v>14</v>
      </c>
    </row>
    <row r="9" spans="1:8" ht="45" customHeight="1" x14ac:dyDescent="0.25">
      <c r="A9" s="19" t="s">
        <v>17</v>
      </c>
      <c r="B9" s="19" t="s">
        <v>18</v>
      </c>
      <c r="C9" s="20" t="s">
        <v>26</v>
      </c>
      <c r="D9" s="21" t="s">
        <v>27</v>
      </c>
      <c r="E9" s="17">
        <v>2</v>
      </c>
      <c r="F9" s="18" t="s">
        <v>12</v>
      </c>
      <c r="G9" s="21" t="s">
        <v>21</v>
      </c>
      <c r="H9" s="21" t="s">
        <v>14</v>
      </c>
    </row>
    <row r="10" spans="1:8" ht="45" customHeight="1" x14ac:dyDescent="0.25">
      <c r="A10" s="14" t="s">
        <v>17</v>
      </c>
      <c r="B10" s="14" t="s">
        <v>18</v>
      </c>
      <c r="C10" s="15" t="s">
        <v>28</v>
      </c>
      <c r="D10" s="16" t="s">
        <v>29</v>
      </c>
      <c r="E10" s="23">
        <v>3</v>
      </c>
      <c r="F10" s="18" t="s">
        <v>12</v>
      </c>
      <c r="G10" s="16" t="s">
        <v>21</v>
      </c>
      <c r="H10" s="16" t="s">
        <v>14</v>
      </c>
    </row>
    <row r="11" spans="1:8" ht="60" customHeight="1" x14ac:dyDescent="0.25">
      <c r="A11" s="19" t="s">
        <v>17</v>
      </c>
      <c r="B11" s="19" t="s">
        <v>18</v>
      </c>
      <c r="C11" s="20" t="s">
        <v>30</v>
      </c>
      <c r="D11" s="21" t="s">
        <v>31</v>
      </c>
      <c r="E11" s="23">
        <v>3</v>
      </c>
      <c r="F11" s="18" t="s">
        <v>12</v>
      </c>
      <c r="G11" s="21" t="s">
        <v>21</v>
      </c>
      <c r="H11" s="21" t="s">
        <v>14</v>
      </c>
    </row>
    <row r="12" spans="1:8" ht="60" customHeight="1" x14ac:dyDescent="0.25">
      <c r="A12" s="14" t="s">
        <v>17</v>
      </c>
      <c r="B12" s="14" t="s">
        <v>18</v>
      </c>
      <c r="C12" s="15" t="s">
        <v>32</v>
      </c>
      <c r="D12" s="16" t="s">
        <v>33</v>
      </c>
      <c r="E12" s="23">
        <v>3</v>
      </c>
      <c r="F12" s="18" t="s">
        <v>12</v>
      </c>
      <c r="G12" s="16" t="s">
        <v>21</v>
      </c>
      <c r="H12" s="16" t="s">
        <v>14</v>
      </c>
    </row>
    <row r="13" spans="1:8" ht="60" customHeight="1" x14ac:dyDescent="0.25">
      <c r="A13" s="19" t="s">
        <v>17</v>
      </c>
      <c r="B13" s="19" t="s">
        <v>18</v>
      </c>
      <c r="C13" s="20" t="s">
        <v>34</v>
      </c>
      <c r="D13" s="21" t="s">
        <v>35</v>
      </c>
      <c r="E13" s="23">
        <v>3</v>
      </c>
      <c r="F13" s="18" t="s">
        <v>12</v>
      </c>
      <c r="G13" s="21" t="s">
        <v>21</v>
      </c>
      <c r="H13" s="21" t="s">
        <v>14</v>
      </c>
    </row>
    <row r="14" spans="1:8" ht="18" customHeight="1" x14ac:dyDescent="0.25">
      <c r="A14" s="13" t="s">
        <v>36</v>
      </c>
      <c r="B14" s="13" t="s">
        <v>37</v>
      </c>
      <c r="C14" s="13"/>
      <c r="D14" s="13"/>
      <c r="E14" s="13"/>
      <c r="F14" s="13"/>
      <c r="G14" s="13"/>
      <c r="H14" s="13"/>
    </row>
    <row r="15" spans="1:8" ht="60" customHeight="1" x14ac:dyDescent="0.25">
      <c r="A15" s="14" t="s">
        <v>36</v>
      </c>
      <c r="B15" s="14" t="s">
        <v>37</v>
      </c>
      <c r="C15" s="15" t="s">
        <v>38</v>
      </c>
      <c r="D15" s="16" t="s">
        <v>39</v>
      </c>
      <c r="E15" s="17">
        <v>2</v>
      </c>
      <c r="F15" s="18" t="s">
        <v>12</v>
      </c>
      <c r="G15" s="16" t="s">
        <v>40</v>
      </c>
      <c r="H15" s="16" t="s">
        <v>14</v>
      </c>
    </row>
    <row r="16" spans="1:8" ht="90" customHeight="1" x14ac:dyDescent="0.25">
      <c r="A16" s="19" t="s">
        <v>36</v>
      </c>
      <c r="B16" s="19" t="s">
        <v>37</v>
      </c>
      <c r="C16" s="20" t="s">
        <v>41</v>
      </c>
      <c r="D16" s="21" t="s">
        <v>42</v>
      </c>
      <c r="E16" s="17">
        <v>2</v>
      </c>
      <c r="F16" s="18" t="s">
        <v>12</v>
      </c>
      <c r="G16" s="21" t="s">
        <v>40</v>
      </c>
      <c r="H16" s="21" t="s">
        <v>14</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200-000000000000}">
      <formula1>"Not Started,In Progress,Compliant,Not Applicable"</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19</vt:i4>
      </vt:variant>
    </vt:vector>
  </HeadingPairs>
  <TitlesOfParts>
    <vt:vector size="19" baseType="lpstr">
      <vt:lpstr>Summary</vt:lpstr>
      <vt:lpstr>Assessment Notes</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Flávio Almeida Da Silva Bessa Vieira</cp:lastModifiedBy>
  <dcterms:created xsi:type="dcterms:W3CDTF">2026-04-17T14:46:21Z</dcterms:created>
  <dcterms:modified xsi:type="dcterms:W3CDTF">2026-05-18T14:49:23Z</dcterms:modified>
</cp:coreProperties>
</file>