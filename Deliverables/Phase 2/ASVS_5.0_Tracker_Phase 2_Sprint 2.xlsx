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12" activeTab="18" autoFilterDateGrouping="1"/>
  </bookViews>
  <sheets>
    <sheet xmlns:r="http://schemas.openxmlformats.org/officeDocument/2006/relationships" name="Summary" sheetId="1" state="visible" r:id="rId1"/>
    <sheet xmlns:r="http://schemas.openxmlformats.org/officeDocument/2006/relationships" name="Assessment Notes" sheetId="2" state="visible" r:id="rId2"/>
    <sheet xmlns:r="http://schemas.openxmlformats.org/officeDocument/2006/relationships" name="V1 - Encoding and Sanitization" sheetId="3" state="visible" r:id="rId3"/>
    <sheet xmlns:r="http://schemas.openxmlformats.org/officeDocument/2006/relationships" name="V2 - Validation and Business Lo" sheetId="4" state="visible" r:id="rId4"/>
    <sheet xmlns:r="http://schemas.openxmlformats.org/officeDocument/2006/relationships" name="V3 - Web Frontend Security" sheetId="5" state="visible" r:id="rId5"/>
    <sheet xmlns:r="http://schemas.openxmlformats.org/officeDocument/2006/relationships" name="V4 - API and Web Service" sheetId="6" state="visible" r:id="rId6"/>
    <sheet xmlns:r="http://schemas.openxmlformats.org/officeDocument/2006/relationships" name="V5 - File Handling" sheetId="7" state="visible" r:id="rId7"/>
    <sheet xmlns:r="http://schemas.openxmlformats.org/officeDocument/2006/relationships" name="V6 - Authentication" sheetId="8" state="visible" r:id="rId8"/>
    <sheet xmlns:r="http://schemas.openxmlformats.org/officeDocument/2006/relationships" name="V7 - Session Management" sheetId="9" state="visible" r:id="rId9"/>
    <sheet xmlns:r="http://schemas.openxmlformats.org/officeDocument/2006/relationships" name="V8 - Authorization" sheetId="10" state="visible" r:id="rId10"/>
    <sheet xmlns:r="http://schemas.openxmlformats.org/officeDocument/2006/relationships" name="V9 - Self-contained Tokens" sheetId="11" state="visible" r:id="rId11"/>
    <sheet xmlns:r="http://schemas.openxmlformats.org/officeDocument/2006/relationships" name="V10 - OAuth and OIDC" sheetId="12" state="visible" r:id="rId12"/>
    <sheet xmlns:r="http://schemas.openxmlformats.org/officeDocument/2006/relationships" name="V11 - Cryptography" sheetId="13" state="visible" r:id="rId13"/>
    <sheet xmlns:r="http://schemas.openxmlformats.org/officeDocument/2006/relationships" name="V12 - Secure Communication" sheetId="14" state="visible" r:id="rId14"/>
    <sheet xmlns:r="http://schemas.openxmlformats.org/officeDocument/2006/relationships" name="V13 - Configuration" sheetId="15" state="visible" r:id="rId15"/>
    <sheet xmlns:r="http://schemas.openxmlformats.org/officeDocument/2006/relationships" name="V14 - Data Protection" sheetId="16" state="visible" r:id="rId16"/>
    <sheet xmlns:r="http://schemas.openxmlformats.org/officeDocument/2006/relationships" name="V15 - Secure Coding and Archite" sheetId="17" state="visible" r:id="rId17"/>
    <sheet xmlns:r="http://schemas.openxmlformats.org/officeDocument/2006/relationships" name="V16 - Security Logging and Erro" sheetId="18" state="visible" r:id="rId18"/>
    <sheet xmlns:r="http://schemas.openxmlformats.org/officeDocument/2006/relationships" name="V17 - WebRTC" sheetId="19" state="visible" r:id="rId19"/>
  </sheets>
  <definedNames/>
  <calcPr calcId="191029" fullCalcOnLoad="1"/>
</workbook>
</file>

<file path=xl/styles.xml><?xml version="1.0" encoding="utf-8"?>
<styleSheet xmlns="http://schemas.openxmlformats.org/spreadsheetml/2006/main">
  <numFmts count="0"/>
  <fonts count="13">
    <font>
      <name val="Calibri"/>
      <family val="2"/>
      <color rgb="FF000000"/>
      <sz val="11"/>
    </font>
    <font>
      <name val="Cambria"/>
      <b val="1"/>
      <color rgb="FFFFFFFF"/>
      <sz val="16"/>
    </font>
    <font>
      <name val="Cambria"/>
      <i val="1"/>
      <color rgb="FF595959"/>
      <sz val="10"/>
    </font>
    <font>
      <name val="Cambria"/>
      <b val="1"/>
      <sz val="10"/>
    </font>
    <font>
      <name val="Cambria"/>
      <b val="1"/>
      <sz val="9"/>
    </font>
    <font>
      <name val="Cambria"/>
      <b val="1"/>
      <color rgb="FFFFFFFF"/>
      <sz val="9"/>
    </font>
    <font>
      <name val="Cambria"/>
      <sz val="10"/>
    </font>
    <font>
      <name val="Cambria"/>
      <b val="1"/>
      <color rgb="FFFFFFFF"/>
      <sz val="11"/>
    </font>
    <font>
      <name val="Cambria"/>
      <b val="1"/>
      <color rgb="FFFFFFFF"/>
      <sz val="10"/>
    </font>
    <font>
      <name val="Cambria"/>
      <b val="1"/>
      <color rgb="FF1F3864"/>
      <sz val="10"/>
    </font>
    <font>
      <name val="Calibri"/>
      <b val="1"/>
      <sz val="14"/>
    </font>
    <font>
      <name val="Calibri"/>
      <b val="1"/>
      <sz val="11"/>
    </font>
    <font>
      <name val="Cambria"/>
      <family val="1"/>
      <b val="1"/>
      <color rgb="FFFFFFFF"/>
      <sz val="10"/>
    </font>
  </fonts>
  <fills count="17">
    <fill>
      <patternFill/>
    </fill>
    <fill>
      <patternFill patternType="gray125"/>
    </fill>
    <fill>
      <patternFill patternType="solid">
        <fgColor rgb="FF1F3864"/>
      </patternFill>
    </fill>
    <fill>
      <patternFill patternType="solid">
        <fgColor rgb="FFFFFFFF"/>
      </patternFill>
    </fill>
    <fill>
      <patternFill patternType="solid">
        <fgColor rgb="FFF7FBFF"/>
      </patternFill>
    </fill>
    <fill>
      <patternFill patternType="solid">
        <fgColor rgb="FFD6E4F0"/>
      </patternFill>
    </fill>
    <fill>
      <patternFill patternType="solid">
        <fgColor rgb="FFFFEB9C"/>
      </patternFill>
    </fill>
    <fill>
      <patternFill patternType="solid">
        <fgColor rgb="FFF2F2F2"/>
      </patternFill>
    </fill>
    <fill>
      <patternFill patternType="solid">
        <fgColor rgb="FFC6EFCE"/>
      </patternFill>
    </fill>
    <fill>
      <patternFill patternType="solid">
        <fgColor rgb="FFFABF8F"/>
      </patternFill>
    </fill>
    <fill>
      <patternFill patternType="solid">
        <fgColor rgb="FFFFFF00"/>
        <bgColor indexed="64"/>
      </patternFill>
    </fill>
    <fill>
      <patternFill patternType="solid">
        <fgColor rgb="FFFFEB9C"/>
        <bgColor indexed="64"/>
      </patternFill>
    </fill>
    <fill>
      <patternFill patternType="solid">
        <fgColor rgb="FFF7FBFF"/>
        <bgColor indexed="64"/>
      </patternFill>
    </fill>
    <fill>
      <patternFill patternType="solid">
        <fgColor rgb="00FFEB9C"/>
      </patternFill>
    </fill>
    <fill>
      <patternFill patternType="solid">
        <fgColor rgb="00C6EFCE"/>
      </patternFill>
    </fill>
    <fill>
      <patternFill patternType="solid">
        <fgColor rgb="00F4CCCC"/>
      </patternFill>
    </fill>
    <fill>
      <patternFill patternType="solid">
        <fgColor rgb="00D9EAD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pivotButton="0" quotePrefix="0" xfId="0"/>
    <xf numFmtId="0" fontId="4" fillId="0" borderId="0" applyAlignment="1" pivotButton="0" quotePrefix="0" xfId="0">
      <alignment horizontal="center"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center" vertical="center"/>
    </xf>
    <xf numFmtId="9" fontId="6" fillId="3" borderId="1" applyAlignment="1" pivotButton="0" quotePrefix="0" xfId="0">
      <alignment horizontal="center"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9" fontId="6" fillId="4" borderId="1" applyAlignment="1" pivotButton="0" quotePrefix="0" xfId="0">
      <alignment horizontal="center" vertical="center"/>
    </xf>
    <xf numFmtId="0" fontId="7" fillId="2" borderId="1" pivotButton="0" quotePrefix="0" xfId="0"/>
    <xf numFmtId="0" fontId="8" fillId="2" borderId="1" applyAlignment="1" pivotButton="0" quotePrefix="0" xfId="0">
      <alignment horizontal="center" vertical="center"/>
    </xf>
    <xf numFmtId="9" fontId="8" fillId="2" borderId="1" applyAlignment="1" pivotButton="0" quotePrefix="0" xfId="0">
      <alignment horizontal="center" vertical="center"/>
    </xf>
    <xf numFmtId="0" fontId="8" fillId="2" borderId="1" applyAlignment="1" pivotButton="0" quotePrefix="0" xfId="0">
      <alignment horizontal="center" vertical="center" wrapText="1"/>
    </xf>
    <xf numFmtId="0" fontId="9" fillId="5" borderId="1" applyAlignment="1" pivotButton="0" quotePrefix="0" xfId="0">
      <alignment horizontal="left" vertical="center"/>
    </xf>
    <xf numFmtId="0" fontId="0" fillId="3" borderId="1" pivotButton="0" quotePrefix="0" xfId="0"/>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3" fillId="6" borderId="1" applyAlignment="1" pivotButton="0" quotePrefix="0" xfId="0">
      <alignment horizontal="center" vertical="top"/>
    </xf>
    <xf numFmtId="0" fontId="0" fillId="7" borderId="1" applyAlignment="1" pivotButton="0" quotePrefix="0" xfId="0">
      <alignment horizontal="center" vertical="top"/>
    </xf>
    <xf numFmtId="0" fontId="0" fillId="4" borderId="1" pivotButton="0" quotePrefix="0" xfId="0"/>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3" fillId="8" borderId="1" applyAlignment="1" pivotButton="0" quotePrefix="0" xfId="0">
      <alignment horizontal="center" vertical="top"/>
    </xf>
    <xf numFmtId="0" fontId="3" fillId="9" borderId="1" applyAlignment="1" pivotButton="0" quotePrefix="0" xfId="0">
      <alignment horizontal="center" vertical="top"/>
    </xf>
    <xf numFmtId="0" fontId="10" fillId="0" borderId="0" applyAlignment="1" pivotButton="0" quotePrefix="0" xfId="0">
      <alignment vertical="top" wrapText="1"/>
    </xf>
    <xf numFmtId="0" fontId="0" fillId="0" borderId="0" applyAlignment="1" pivotButton="0" quotePrefix="0" xfId="0">
      <alignment vertical="top" wrapText="1"/>
    </xf>
    <xf numFmtId="0" fontId="11" fillId="0" borderId="0" applyAlignment="1" pivotButton="0" quotePrefix="0" xfId="0">
      <alignment vertical="top" wrapText="1"/>
    </xf>
    <xf numFmtId="0" fontId="0" fillId="10" borderId="1" applyAlignment="1" pivotButton="0" quotePrefix="0" xfId="0">
      <alignment horizontal="center" vertical="top"/>
    </xf>
    <xf numFmtId="0" fontId="0" fillId="0" borderId="1" pivotButton="0" quotePrefix="0" xfId="0"/>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3" fillId="11" borderId="1" applyAlignment="1" pivotButton="0" quotePrefix="0" xfId="0">
      <alignment horizontal="center" vertical="top"/>
    </xf>
    <xf numFmtId="0" fontId="0" fillId="12" borderId="1" applyAlignment="1" pivotButton="0" quotePrefix="0" xfId="0">
      <alignment horizontal="left" vertical="top" wrapText="1"/>
    </xf>
    <xf numFmtId="0" fontId="12" fillId="2" borderId="1" applyAlignment="1" pivotButton="0" quotePrefix="0" xfId="0">
      <alignment horizontal="center" vertical="center" wrapText="1"/>
    </xf>
    <xf numFmtId="0" fontId="1" fillId="2" borderId="0" applyAlignment="1" pivotButton="0" quotePrefix="0" xfId="0">
      <alignment horizontal="center" vertical="center"/>
    </xf>
    <xf numFmtId="0" fontId="0" fillId="0" borderId="0" pivotButton="0" quotePrefix="0" xfId="0"/>
    <xf numFmtId="0" fontId="3" fillId="0" borderId="0" pivotButton="0" quotePrefix="0" xfId="0"/>
    <xf numFmtId="0" fontId="2" fillId="0" borderId="0" applyAlignment="1" pivotButton="0" quotePrefix="0" xfId="0">
      <alignment horizontal="center" vertical="center"/>
    </xf>
    <xf numFmtId="0" fontId="0" fillId="10" borderId="0" pivotButton="0" quotePrefix="0" xfId="0"/>
    <xf numFmtId="0" fontId="0" fillId="13" borderId="1" applyAlignment="1" pivotButton="0" quotePrefix="0" xfId="0">
      <alignment horizontal="center" vertical="top"/>
    </xf>
    <xf numFmtId="0" fontId="0" fillId="14" borderId="1" applyAlignment="1" pivotButton="0" quotePrefix="0" xfId="0">
      <alignment horizontal="center" vertical="top"/>
    </xf>
    <xf numFmtId="0" fontId="0" fillId="15" borderId="1" applyAlignment="1" pivotButton="0" quotePrefix="0" xfId="0">
      <alignment horizontal="center" vertical="top"/>
    </xf>
    <xf numFmtId="0" fontId="0" fillId="16" borderId="1"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plotArea>
      <layout/>
      <barChart>
        <barDir val="bar"/>
        <grouping val="clustered"/>
        <varyColors val="0"/>
        <ser>
          <idx val="0"/>
          <order val="0"/>
          <tx>
            <strRef>
              <f>Summary!$E$5</f>
              <strCache>
                <ptCount val="1"/>
                <pt idx="0">
                  <v>L1
%</v>
                </pt>
              </strCache>
            </strRef>
          </tx>
          <spPr>
            <a:solidFill xmlns:a="http://schemas.openxmlformats.org/drawingml/2006/main">
              <a:srgbClr val="C6EFCE"/>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0%</formatCode>
                <ptCount val="17"/>
                <pt idx="0">
                  <v>0.125</v>
                </pt>
                <pt idx="1">
                  <v>0.25</v>
                </pt>
                <pt idx="2">
                  <v>0.125</v>
                </pt>
                <pt idx="3">
                  <v>0</v>
                </pt>
                <pt idx="4">
                  <v>1</v>
                </pt>
                <pt idx="5">
                  <v>0.3076923076923077</v>
                </pt>
                <pt idx="6">
                  <v>0.1666666666666667</v>
                </pt>
                <pt idx="7">
                  <v>0.75</v>
                </pt>
                <pt idx="8">
                  <v>0.25</v>
                </pt>
                <pt idx="9">
                  <v>0</v>
                </pt>
                <pt idx="10">
                  <v>0.3333333333333333</v>
                </pt>
                <pt idx="11">
                  <v>0</v>
                </pt>
                <pt idx="12">
                  <v>0</v>
                </pt>
                <pt idx="13">
                  <v>0</v>
                </pt>
                <pt idx="14">
                  <v>0</v>
                </pt>
                <pt idx="15">
                  <formatCode>General</formatCode>
                  <v>0</v>
                </pt>
                <pt idx="16">
                  <formatCode>General</formatCode>
                  <v>0</v>
                </pt>
              </numCache>
            </numRef>
          </val>
        </ser>
        <ser>
          <idx val="1"/>
          <order val="1"/>
          <tx>
            <strRef>
              <f>Summary!$H$5</f>
              <strCache>
                <ptCount val="1"/>
                <pt idx="0">
                  <v>L2
%</v>
                </pt>
              </strCache>
            </strRef>
          </tx>
          <spPr>
            <a:solidFill xmlns:a="http://schemas.openxmlformats.org/drawingml/2006/main">
              <a:srgbClr val="FFEB9C"/>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0%</formatCode>
                <ptCount val="17"/>
                <pt idx="0">
                  <v>0.05263157894736842</v>
                </pt>
                <pt idx="1">
                  <v>0</v>
                </pt>
                <pt idx="2">
                  <v>0.3636363636363636</v>
                </pt>
                <pt idx="3">
                  <v>0</v>
                </pt>
                <pt idx="4">
                  <v>0.4</v>
                </pt>
                <pt idx="5">
                  <v>0.04545454545454546</v>
                </pt>
                <pt idx="6">
                  <v>0.08333333333333333</v>
                </pt>
                <pt idx="7">
                  <v>0</v>
                </pt>
                <pt idx="8">
                  <v>0</v>
                </pt>
                <pt idx="9">
                  <v>0</v>
                </pt>
                <pt idx="10">
                  <v>0.2727272727272727</v>
                </pt>
                <pt idx="11">
                  <v>0</v>
                </pt>
                <pt idx="12">
                  <v>0.08333333333333333</v>
                </pt>
                <pt idx="13">
                  <v>0.1428571428571428</v>
                </pt>
                <pt idx="14">
                  <v>0.1</v>
                </pt>
                <pt idx="15">
                  <v>0.1875</v>
                </pt>
                <pt idx="16">
                  <v>0</v>
                </pt>
              </numCache>
            </numRef>
          </val>
        </ser>
        <ser>
          <idx val="2"/>
          <order val="2"/>
          <tx>
            <strRef>
              <f>Summary!$K$5</f>
              <strCache>
                <ptCount val="1"/>
                <pt idx="0">
                  <v>L3
%</v>
                </pt>
              </strCache>
            </strRef>
          </tx>
          <spPr>
            <a:solidFill xmlns:a="http://schemas.openxmlformats.org/drawingml/2006/main">
              <a:srgbClr val="FABF8F"/>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0%</formatCode>
                <ptCount val="16"/>
                <pt idx="0">
                  <v>0.3333333333333333</v>
                </pt>
                <pt idx="1">
                  <v>0</v>
                </pt>
                <pt idx="2">
                  <v>0.08333333333333333</v>
                </pt>
                <pt idx="3">
                  <v>0</v>
                </pt>
                <pt idx="4">
                  <v>0.25</v>
                </pt>
                <pt idx="5">
                  <v>0.08333333333333333</v>
                </pt>
                <pt idx="6">
                  <v>0</v>
                </pt>
                <pt idx="7">
                  <v>0.1666666666666667</v>
                </pt>
                <pt idx="8">
                  <formatCode>General</formatCode>
                  <v>0</v>
                </pt>
                <pt idx="9">
                  <v>0</v>
                </pt>
                <pt idx="10">
                  <v>0</v>
                </pt>
                <pt idx="11">
                  <v>0</v>
                </pt>
                <pt idx="12">
                  <v>0</v>
                </pt>
                <pt idx="13">
                  <v>0</v>
                </pt>
                <pt idx="14">
                  <v>0.125</v>
                </pt>
                <pt idx="15">
                  <v>1</v>
                </pt>
              </numCache>
            </numRef>
          </val>
        </ser>
        <ser>
          <idx val="3"/>
          <order val="3"/>
          <tx>
            <strRef>
              <f>Summary!$M$5</f>
              <strCache>
                <ptCount val="1"/>
                <pt idx="0">
                  <v>Overall
%</v>
                </pt>
              </strCache>
            </strRef>
          </tx>
          <spPr>
            <a:solidFill xmlns:a="http://schemas.openxmlformats.org/drawingml/2006/main">
              <a:srgbClr val="579D1C"/>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0%</formatCode>
                <ptCount val="17"/>
                <pt idx="0">
                  <v>0.1</v>
                </pt>
                <pt idx="1">
                  <v>0.07692307692307693</v>
                </pt>
                <pt idx="2">
                  <v>0.1935483870967742</v>
                </pt>
                <pt idx="3">
                  <v>0</v>
                </pt>
                <pt idx="4">
                  <v>0.5384615384615384</v>
                </pt>
                <pt idx="5">
                  <v>0.1276595744680851</v>
                </pt>
                <pt idx="6">
                  <v>0.1052631578947368</v>
                </pt>
                <pt idx="7">
                  <v>0.3076923076923077</v>
                </pt>
                <pt idx="8">
                  <v>0.1428571428571428</v>
                </pt>
                <pt idx="9">
                  <v>0</v>
                </pt>
                <pt idx="10">
                  <v>0.1666666666666667</v>
                </pt>
                <pt idx="11">
                  <v>0</v>
                </pt>
                <pt idx="12">
                  <v>0.04761904761904762</v>
                </pt>
                <pt idx="13">
                  <v>0.07692307692307693</v>
                </pt>
                <pt idx="14">
                  <v>0.09523809523809523</v>
                </pt>
                <pt idx="15">
                  <v>0.2352941176470588</v>
                </pt>
                <pt idx="16">
                  <v>0</v>
                </pt>
              </numCache>
            </numRef>
          </val>
        </ser>
        <dLbls>
          <showLegendKey val="0"/>
          <showVal val="0"/>
          <showCatName val="0"/>
          <showSerName val="0"/>
          <showPercent val="0"/>
          <showBubbleSize val="0"/>
        </dLbls>
        <gapWidth val="100"/>
        <axId val="48650112"/>
        <axId val="48672768"/>
      </barChart>
      <catAx>
        <axId val="48650112"/>
        <scaling>
          <orientation val="minMax"/>
        </scaling>
        <delete val="0"/>
        <axPos val="l"/>
        <numFmt formatCode="General" sourceLinked="1"/>
        <majorTickMark val="out"/>
        <minorTickMark val="none"/>
        <tickLblPos val="nextTo"/>
        <spPr>
          <a:ln xmlns:a="http://schemas.openxmlformats.org/drawingml/2006/main">
            <a:solidFill>
              <a:srgbClr val="B3B3B3"/>
            </a:solid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crossAx val="48672768"/>
        <crosses val="autoZero"/>
        <auto val="1"/>
        <lblAlgn val="ctr"/>
        <lblOffset val="100"/>
        <noMultiLvlLbl val="0"/>
      </catAx>
      <valAx>
        <axId val="48672768"/>
        <scaling>
          <orientation val="minMax"/>
        </scaling>
        <delete val="0"/>
        <axPos val="b"/>
        <majorGridlines>
          <spPr>
            <a:ln xmlns:a="http://schemas.openxmlformats.org/drawingml/2006/main">
              <a:solidFill>
                <a:srgbClr val="B3B3B3"/>
              </a:solidFill>
              <a:prstDash val="solid"/>
            </a:ln>
          </spPr>
        </majorGridlines>
        <numFmt formatCode="0%" sourceLinked="0"/>
        <majorTickMark val="out"/>
        <minorTickMark val="none"/>
        <tickLblPos val="nextTo"/>
        <spPr>
          <a:ln xmlns:a="http://schemas.openxmlformats.org/drawingml/2006/main">
            <a:solidFill>
              <a:srgbClr val="B3B3B3"/>
            </a:solid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crossAx val="48650112"/>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legend>
    <plotVisOnly val="1"/>
    <dispBlanksAs val="gap"/>
  </chart>
  <spPr>
    <a:solidFill xmlns:a="http://schemas.openxmlformats.org/drawingml/2006/main">
      <a:srgbClr val="FFFFFF"/>
    </a:solidFill>
    <a:ln xmlns:a="http://schemas.openxmlformats.org/drawingml/2006/mai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38880</colOff>
      <row>24</row>
      <rowOff>10440</rowOff>
    </from>
    <to>
      <col>12</col>
      <colOff>857520</colOff>
      <row>47</row>
      <rowOff>56880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23"/>
  <sheetViews>
    <sheetView showGridLines="0" workbookViewId="0">
      <selection activeCell="E7" sqref="E7"/>
    </sheetView>
  </sheetViews>
  <sheetFormatPr baseColWidth="8" defaultColWidth="8.42578125" defaultRowHeight="15"/>
  <cols>
    <col width="34" customWidth="1" style="35" min="1" max="1"/>
    <col width="11" customWidth="1" style="35" min="2" max="13"/>
  </cols>
  <sheetData>
    <row r="1" ht="36" customHeight="1" s="35">
      <c r="A1" s="34" t="inlineStr">
        <is>
          <t>OWASP ASVS 5.0 – Compliance Tracker</t>
        </is>
      </c>
    </row>
    <row r="2" ht="20.1" customHeight="1" s="35">
      <c r="A2" s="37" t="n"/>
    </row>
    <row r="3" ht="18" customHeight="1" s="35">
      <c r="A3" s="36" t="n"/>
      <c r="C3" s="1" t="n"/>
      <c r="E3" s="1" t="n"/>
      <c r="G3" s="1" t="n"/>
      <c r="I3" s="1" t="n"/>
      <c r="K3" s="1" t="n"/>
      <c r="M3" s="1" t="n"/>
      <c r="O3" s="1" t="n"/>
    </row>
    <row r="5" ht="32.1" customHeight="1" s="35">
      <c r="A5" s="2" t="inlineStr">
        <is>
          <t>Chapter</t>
        </is>
      </c>
      <c r="B5" s="2" t="inlineStr">
        <is>
          <t>Total
Reqs</t>
        </is>
      </c>
      <c r="C5" s="2" t="inlineStr">
        <is>
          <t>L1
Total</t>
        </is>
      </c>
      <c r="D5" s="2" t="inlineStr">
        <is>
          <t>L1
Compliant</t>
        </is>
      </c>
      <c r="E5" s="2" t="inlineStr">
        <is>
          <t>L1
%</t>
        </is>
      </c>
      <c r="F5" s="2" t="inlineStr">
        <is>
          <t>L2
Total</t>
        </is>
      </c>
      <c r="G5" s="2" t="inlineStr">
        <is>
          <t>L2
Compliant</t>
        </is>
      </c>
      <c r="H5" s="2" t="inlineStr">
        <is>
          <t>L2
%</t>
        </is>
      </c>
      <c r="I5" s="2" t="inlineStr">
        <is>
          <t>L3
Total</t>
        </is>
      </c>
      <c r="J5" s="2" t="inlineStr">
        <is>
          <t>L3
Compliant</t>
        </is>
      </c>
      <c r="K5" s="2" t="inlineStr">
        <is>
          <t>L3
%</t>
        </is>
      </c>
      <c r="L5" s="2" t="inlineStr">
        <is>
          <t>Overall
Compliant</t>
        </is>
      </c>
      <c r="M5" s="2" t="inlineStr">
        <is>
          <t>Overall
%</t>
        </is>
      </c>
    </row>
    <row r="6" ht="18" customHeight="1" s="35">
      <c r="A6" s="3" t="inlineStr">
        <is>
          <t>V1 – Encoding and Sanitization</t>
        </is>
      </c>
      <c r="B6" s="4" t="n">
        <v>30</v>
      </c>
      <c r="C6" s="4" t="n">
        <v>8</v>
      </c>
      <c r="D6" s="4">
        <f>COUNTIFS('V1 - Encoding and Sanitization'!$F$2:$F$36,"Compliant",'V1 - Encoding and Sanitization'!$E$2:$E$36,1)</f>
        <v/>
      </c>
      <c r="E6" s="5">
        <f>IF(C6=0,"",D6/C6)</f>
        <v/>
      </c>
      <c r="F6" s="4" t="n">
        <v>19</v>
      </c>
      <c r="G6" s="4">
        <f>COUNTIFS('V1 - Encoding and Sanitization'!$F$2:$F$36,"Compliant",'V1 - Encoding and Sanitization'!$E$2:$E$36,2)</f>
        <v/>
      </c>
      <c r="H6" s="5">
        <f>IF(F6=0,"",G6/F6)</f>
        <v/>
      </c>
      <c r="I6" s="4" t="n">
        <v>3</v>
      </c>
      <c r="J6" s="4">
        <f>COUNTIFS('V1 - Encoding and Sanitization'!$F$2:$F$36,"Compliant",'V1 - Encoding and Sanitization'!$E$2:$E$36,3)</f>
        <v/>
      </c>
      <c r="K6" s="5">
        <f>IF(I6=0,"",J6/I6)</f>
        <v/>
      </c>
      <c r="L6" s="4">
        <f>COUNTIF('V1 - Encoding and Sanitization'!$F$2:$F$36,"Compliant")</f>
        <v/>
      </c>
      <c r="M6" s="5">
        <f>IF(B6=0,"",L6/B6)</f>
        <v/>
      </c>
    </row>
    <row r="7" ht="18" customHeight="1" s="35">
      <c r="A7" s="6" t="inlineStr">
        <is>
          <t>V2 – Validation and Business Logic</t>
        </is>
      </c>
      <c r="B7" s="7" t="n">
        <v>13</v>
      </c>
      <c r="C7" s="7" t="n">
        <v>4</v>
      </c>
      <c r="D7" s="7">
        <f>COUNTIFS('V2 - Validation and Business Lo'!$F$2:$F$18,"Compliant",'V2 - Validation and Business Lo'!$E$2:$E$18,1)</f>
        <v/>
      </c>
      <c r="E7" s="8">
        <f>IF(C7=0,"",D7/C7)</f>
        <v/>
      </c>
      <c r="F7" s="7" t="n">
        <v>7</v>
      </c>
      <c r="G7" s="7">
        <f>COUNTIFS('V2 - Validation and Business Lo'!$F$2:$F$18,"Compliant",'V2 - Validation and Business Lo'!$E$2:$E$18,2)</f>
        <v/>
      </c>
      <c r="H7" s="8">
        <f>IF(F7=0,"",G7/F7)</f>
        <v/>
      </c>
      <c r="I7" s="7" t="n">
        <v>2</v>
      </c>
      <c r="J7" s="7">
        <f>COUNTIFS('V2 - Validation and Business Lo'!$F$2:$F$18,"Compliant",'V2 - Validation and Business Lo'!$E$2:$E$18,3)</f>
        <v/>
      </c>
      <c r="K7" s="8">
        <f>IF(I7=0,"",J7/I7)</f>
        <v/>
      </c>
      <c r="L7" s="7">
        <f>COUNTIF('V2 - Validation and Business Lo'!$F$2:$F$18,"Compliant")</f>
        <v/>
      </c>
      <c r="M7" s="8">
        <f>IF(B7=0,"",L7/B7)</f>
        <v/>
      </c>
    </row>
    <row r="8" ht="18" customHeight="1" s="35">
      <c r="A8" s="3" t="inlineStr">
        <is>
          <t>V3 – Web Frontend Security</t>
        </is>
      </c>
      <c r="B8" s="4" t="n">
        <v>31</v>
      </c>
      <c r="C8" s="4" t="n">
        <v>8</v>
      </c>
      <c r="D8" s="4">
        <f>COUNTIFS('V3 - Web Frontend Security'!$F$2:$F$39,"Compliant",'V3 - Web Frontend Security'!$E$2:$E$39,1)</f>
        <v/>
      </c>
      <c r="E8" s="5">
        <f>IF(C8=0,"",D8/C8)</f>
        <v/>
      </c>
      <c r="F8" s="4" t="n">
        <v>11</v>
      </c>
      <c r="G8" s="4">
        <f>COUNTIFS('V3 - Web Frontend Security'!$F$2:$F$39,"Compliant",'V3 - Web Frontend Security'!$E$2:$E$39,2)</f>
        <v/>
      </c>
      <c r="H8" s="5">
        <f>IF(F8=0,"",G8/F8)</f>
        <v/>
      </c>
      <c r="I8" s="4" t="n">
        <v>12</v>
      </c>
      <c r="J8" s="4">
        <f>COUNTIFS('V3 - Web Frontend Security'!$F$2:$F$39,"Compliant",'V3 - Web Frontend Security'!$E$2:$E$39,3)</f>
        <v/>
      </c>
      <c r="K8" s="5">
        <f>IF(I8=0,"",J8/I8)</f>
        <v/>
      </c>
      <c r="L8" s="4">
        <f>COUNTIF('V3 - Web Frontend Security'!$F$2:$F$39,"Compliant")</f>
        <v/>
      </c>
      <c r="M8" s="5">
        <f>IF(B8=0,"",L8/B8)</f>
        <v/>
      </c>
    </row>
    <row r="9" ht="18" customHeight="1" s="35">
      <c r="A9" s="6" t="inlineStr">
        <is>
          <t>V4 – API and Web Service</t>
        </is>
      </c>
      <c r="B9" s="7" t="n">
        <v>16</v>
      </c>
      <c r="C9" s="7" t="n">
        <v>2</v>
      </c>
      <c r="D9" s="7">
        <f>COUNTIFS('V4 - API and Web Service'!$F$2:$F$21,"Compliant",'V4 - API and Web Service'!$E$2:$E$21,1)</f>
        <v/>
      </c>
      <c r="E9" s="8">
        <f>IF(C9=0,"",D9/C9)</f>
        <v/>
      </c>
      <c r="F9" s="7" t="n">
        <v>8</v>
      </c>
      <c r="G9" s="7">
        <f>COUNTIFS('V4 - API and Web Service'!$F$2:$F$21,"Compliant",'V4 - API and Web Service'!$E$2:$E$21,2)</f>
        <v/>
      </c>
      <c r="H9" s="8">
        <f>IF(F9=0,"",G9/F9)</f>
        <v/>
      </c>
      <c r="I9" s="7" t="n">
        <v>6</v>
      </c>
      <c r="J9" s="7">
        <f>COUNTIFS('V4 - API and Web Service'!$F$2:$F$21,"Compliant",'V4 - API and Web Service'!$E$2:$E$21,3)</f>
        <v/>
      </c>
      <c r="K9" s="8">
        <f>IF(I9=0,"",J9/I9)</f>
        <v/>
      </c>
      <c r="L9" s="7">
        <f>COUNTIF('V4 - API and Web Service'!$F$2:$F$21,"Compliant")</f>
        <v/>
      </c>
      <c r="M9" s="8">
        <f>IF(B9=0,"",L9/B9)</f>
        <v/>
      </c>
    </row>
    <row r="10" ht="18" customHeight="1" s="35">
      <c r="A10" s="3" t="inlineStr">
        <is>
          <t>V5 – File Handling</t>
        </is>
      </c>
      <c r="B10" s="4" t="n">
        <v>13</v>
      </c>
      <c r="C10" s="4" t="n">
        <v>4</v>
      </c>
      <c r="D10" s="4">
        <f>COUNTIFS('V5 - File Handling'!$F$2:$F$18,"Compliant",'V5 - File Handling'!$E$2:$E$18,1)</f>
        <v/>
      </c>
      <c r="E10" s="5">
        <f>IF(C10=0,"",D10/C10)</f>
        <v/>
      </c>
      <c r="F10" s="4" t="n">
        <v>5</v>
      </c>
      <c r="G10" s="4">
        <f>COUNTIFS('V5 - File Handling'!$F$2:$F$18,"Compliant",'V5 - File Handling'!$E$2:$E$18,2)</f>
        <v/>
      </c>
      <c r="H10" s="5">
        <f>IF(F10=0,"",G10/F10)</f>
        <v/>
      </c>
      <c r="I10" s="4" t="n">
        <v>4</v>
      </c>
      <c r="J10" s="4">
        <f>COUNTIFS('V5 - File Handling'!$F$2:$F$18,"Compliant",'V5 - File Handling'!$E$2:$E$18,3)</f>
        <v/>
      </c>
      <c r="K10" s="5">
        <f>IF(I10=0,"",J10/I10)</f>
        <v/>
      </c>
      <c r="L10" s="4">
        <f>COUNTIF('V5 - File Handling'!$F$2:$F$18,"Compliant")</f>
        <v/>
      </c>
      <c r="M10" s="5">
        <f>IF(B10=0,"",L10/B10)</f>
        <v/>
      </c>
    </row>
    <row r="11" ht="18" customHeight="1" s="35">
      <c r="A11" s="6" t="inlineStr">
        <is>
          <t>V6 – Authentication</t>
        </is>
      </c>
      <c r="B11" s="7" t="n">
        <v>47</v>
      </c>
      <c r="C11" s="7" t="n">
        <v>13</v>
      </c>
      <c r="D11" s="7">
        <f>COUNTIFS('V6 - Authentication'!$F$2:$F$56,"Compliant",'V6 - Authentication'!$E$2:$E$56,1)</f>
        <v/>
      </c>
      <c r="E11" s="8">
        <f>IF(C11=0,"",D11/C11)</f>
        <v/>
      </c>
      <c r="F11" s="7" t="n">
        <v>22</v>
      </c>
      <c r="G11" s="7">
        <f>COUNTIFS('V6 - Authentication'!$F$2:$F$56,"Compliant",'V6 - Authentication'!$E$2:$E$56,2)</f>
        <v/>
      </c>
      <c r="H11" s="8">
        <f>IF(F11=0,"",G11/F11)</f>
        <v/>
      </c>
      <c r="I11" s="7" t="n">
        <v>12</v>
      </c>
      <c r="J11" s="7">
        <f>COUNTIFS('V6 - Authentication'!$F$2:$F$56,"Compliant",'V6 - Authentication'!$E$2:$E$56,3)</f>
        <v/>
      </c>
      <c r="K11" s="8">
        <f>IF(I11=0,"",J11/I11)</f>
        <v/>
      </c>
      <c r="L11" s="7">
        <f>COUNTIF('V6 - Authentication'!$F$2:$F$56,"Compliant")</f>
        <v/>
      </c>
      <c r="M11" s="8">
        <f>IF(B11=0,"",L11/B11)</f>
        <v/>
      </c>
    </row>
    <row r="12" ht="18" customHeight="1" s="35">
      <c r="A12" s="3" t="inlineStr">
        <is>
          <t>V7 – Session Management</t>
        </is>
      </c>
      <c r="B12" s="4" t="n">
        <v>19</v>
      </c>
      <c r="C12" s="4" t="n">
        <v>6</v>
      </c>
      <c r="D12" s="4">
        <f>COUNTIFS('V7 - Session Management'!$F$2:$F$26,"Compliant",'V7 - Session Management'!$E$2:$E$26,1)</f>
        <v/>
      </c>
      <c r="E12" s="5">
        <f>IF(C12=0,"",D12/C12)</f>
        <v/>
      </c>
      <c r="F12" s="4" t="n">
        <v>12</v>
      </c>
      <c r="G12" s="4">
        <f>COUNTIFS('V7 - Session Management'!$F$2:$F$26,"Compliant",'V7 - Session Management'!$E$2:$E$26,2)</f>
        <v/>
      </c>
      <c r="H12" s="5">
        <f>IF(F12=0,"",G12/F12)</f>
        <v/>
      </c>
      <c r="I12" s="4" t="n">
        <v>1</v>
      </c>
      <c r="J12" s="4">
        <f>COUNTIFS('V7 - Session Management'!$F$2:$F$26,"Compliant",'V7 - Session Management'!$E$2:$E$26,3)</f>
        <v/>
      </c>
      <c r="K12" s="5">
        <f>IF(I12=0,"",J12/I12)</f>
        <v/>
      </c>
      <c r="L12" s="4">
        <f>COUNTIF('V7 - Session Management'!$F$2:$F$26,"Compliant")</f>
        <v/>
      </c>
      <c r="M12" s="5">
        <f>IF(B12=0,"",L12/B12)</f>
        <v/>
      </c>
    </row>
    <row r="13" ht="18" customHeight="1" s="35">
      <c r="A13" s="6" t="inlineStr">
        <is>
          <t>V8 – Authorization</t>
        </is>
      </c>
      <c r="B13" s="7" t="n">
        <v>13</v>
      </c>
      <c r="C13" s="7" t="n">
        <v>4</v>
      </c>
      <c r="D13" s="7">
        <f>COUNTIFS('V8 - Authorization'!$F$2:$F$18,"Compliant",'V8 - Authorization'!$E$2:$E$18,1)</f>
        <v/>
      </c>
      <c r="E13" s="8">
        <f>IF(C13=0,"",D13/C13)</f>
        <v/>
      </c>
      <c r="F13" s="7" t="n">
        <v>3</v>
      </c>
      <c r="G13" s="7">
        <f>COUNTIFS('V8 - Authorization'!$F$2:$F$18,"Compliant",'V8 - Authorization'!$E$2:$E$18,2)</f>
        <v/>
      </c>
      <c r="H13" s="8">
        <f>IF(F13=0,"",G13/F13)</f>
        <v/>
      </c>
      <c r="I13" s="7" t="n">
        <v>6</v>
      </c>
      <c r="J13" s="7">
        <f>COUNTIFS('V8 - Authorization'!$F$2:$F$18,"Compliant",'V8 - Authorization'!$E$2:$E$18,3)</f>
        <v/>
      </c>
      <c r="K13" s="8">
        <f>IF(I13=0,"",J13/I13)</f>
        <v/>
      </c>
      <c r="L13" s="7">
        <f>COUNTIF('V8 - Authorization'!$F$2:$F$18,"Compliant")</f>
        <v/>
      </c>
      <c r="M13" s="8">
        <f>IF(B13=0,"",L13/B13)</f>
        <v/>
      </c>
    </row>
    <row r="14" ht="18" customHeight="1" s="35">
      <c r="A14" s="3" t="inlineStr">
        <is>
          <t>V9 – Self-contained Tokens</t>
        </is>
      </c>
      <c r="B14" s="4" t="n">
        <v>7</v>
      </c>
      <c r="C14" s="4" t="n">
        <v>4</v>
      </c>
      <c r="D14" s="4">
        <f>COUNTIFS('V9 - Self-contained Tokens'!$F$2:$F$10,"Compliant",'V9 - Self-contained Tokens'!$E$2:$E$10,1)</f>
        <v/>
      </c>
      <c r="E14" s="5">
        <f>IF(C14=0,"",D14/C14)</f>
        <v/>
      </c>
      <c r="F14" s="4" t="n">
        <v>3</v>
      </c>
      <c r="G14" s="4">
        <f>COUNTIFS('V9 - Self-contained Tokens'!$F$2:$F$10,"Compliant",'V9 - Self-contained Tokens'!$E$2:$E$10,2)</f>
        <v/>
      </c>
      <c r="H14" s="5">
        <f>IF(F14=0,"",G14/F14)</f>
        <v/>
      </c>
      <c r="I14" s="4" t="n">
        <v>0</v>
      </c>
      <c r="J14" s="4" t="inlineStr">
        <is>
          <t>N/A</t>
        </is>
      </c>
      <c r="K14" s="4" t="inlineStr">
        <is>
          <t>N/A</t>
        </is>
      </c>
      <c r="L14" s="4">
        <f>COUNTIF('V9 - Self-contained Tokens'!$F$2:$F$10,"Compliant")</f>
        <v/>
      </c>
      <c r="M14" s="5">
        <f>IF(B14=0,"",L14/B14)</f>
        <v/>
      </c>
    </row>
    <row r="15" ht="18" customHeight="1" s="35">
      <c r="A15" s="6" t="inlineStr">
        <is>
          <t>V10 – OAuth and OIDC</t>
        </is>
      </c>
      <c r="B15" s="7" t="n">
        <v>36</v>
      </c>
      <c r="C15" s="7" t="n">
        <v>5</v>
      </c>
      <c r="D15" s="7">
        <f>COUNTIFS('V10 - OAuth and OIDC'!$F$2:$F$44,"Compliant",'V10 - OAuth and OIDC'!$E$2:$E$44,1)</f>
        <v/>
      </c>
      <c r="E15" s="8">
        <f>IF(C15=0,"",D15/C15)</f>
        <v/>
      </c>
      <c r="F15" s="7" t="n">
        <v>24</v>
      </c>
      <c r="G15" s="7">
        <f>COUNTIFS('V10 - OAuth and OIDC'!$F$2:$F$44,"Compliant",'V10 - OAuth and OIDC'!$E$2:$E$44,2)</f>
        <v/>
      </c>
      <c r="H15" s="8">
        <f>IF(F15=0,"",G15/F15)</f>
        <v/>
      </c>
      <c r="I15" s="7" t="n">
        <v>7</v>
      </c>
      <c r="J15" s="7">
        <f>COUNTIFS('V10 - OAuth and OIDC'!$F$2:$F$44,"Compliant",'V10 - OAuth and OIDC'!$E$2:$E$44,3)</f>
        <v/>
      </c>
      <c r="K15" s="8">
        <f>IF(I15=0,"",J15/I15)</f>
        <v/>
      </c>
      <c r="L15" s="7">
        <f>COUNTIF('V10 - OAuth and OIDC'!$F$2:$F$44,"Compliant")</f>
        <v/>
      </c>
      <c r="M15" s="8">
        <f>IF(B15=0,"",L15/B15)</f>
        <v/>
      </c>
    </row>
    <row r="16" ht="18" customHeight="1" s="35">
      <c r="A16" s="3" t="inlineStr">
        <is>
          <t>V11 – Cryptography</t>
        </is>
      </c>
      <c r="B16" s="4" t="n">
        <v>24</v>
      </c>
      <c r="C16" s="4" t="n">
        <v>3</v>
      </c>
      <c r="D16" s="4">
        <f>COUNTIFS('V11 - Cryptography'!$F$2:$F$32,"Compliant",'V11 - Cryptography'!$E$2:$E$32,1)</f>
        <v/>
      </c>
      <c r="E16" s="5">
        <f>IF(C16=0,"",D16/C16)</f>
        <v/>
      </c>
      <c r="F16" s="4" t="n">
        <v>11</v>
      </c>
      <c r="G16" s="4">
        <f>COUNTIFS('V11 - Cryptography'!$F$2:$F$32,"Compliant",'V11 - Cryptography'!$E$2:$E$32,2)</f>
        <v/>
      </c>
      <c r="H16" s="5">
        <f>IF(F16=0,"",G16/F16)</f>
        <v/>
      </c>
      <c r="I16" s="4" t="n">
        <v>10</v>
      </c>
      <c r="J16" s="4">
        <f>COUNTIFS('V11 - Cryptography'!$F$2:$F$32,"Compliant",'V11 - Cryptography'!$E$2:$E$32,3)</f>
        <v/>
      </c>
      <c r="K16" s="5">
        <f>IF(I16=0,"",J16/I16)</f>
        <v/>
      </c>
      <c r="L16" s="4">
        <f>COUNTIF('V11 - Cryptography'!$F$2:$F$32,"Compliant")</f>
        <v/>
      </c>
      <c r="M16" s="5">
        <f>IF(B16=0,"",L16/B16)</f>
        <v/>
      </c>
    </row>
    <row r="17" ht="18" customHeight="1" s="35">
      <c r="A17" s="6" t="inlineStr">
        <is>
          <t>V12 – Secure Communication</t>
        </is>
      </c>
      <c r="B17" s="7" t="n">
        <v>12</v>
      </c>
      <c r="C17" s="7" t="n">
        <v>3</v>
      </c>
      <c r="D17" s="7">
        <f>COUNTIFS('V12 - Secure Communication'!$F$2:$F$16,"Compliant",'V12 - Secure Communication'!$E$2:$E$16,1)</f>
        <v/>
      </c>
      <c r="E17" s="8">
        <f>IF(C17=0,"",D17/C17)</f>
        <v/>
      </c>
      <c r="F17" s="7" t="n">
        <v>6</v>
      </c>
      <c r="G17" s="7">
        <f>COUNTIFS('V12 - Secure Communication'!$F$2:$F$16,"Compliant",'V12 - Secure Communication'!$E$2:$E$16,2)</f>
        <v/>
      </c>
      <c r="H17" s="8">
        <f>IF(F17=0,"",G17/F17)</f>
        <v/>
      </c>
      <c r="I17" s="7" t="n">
        <v>3</v>
      </c>
      <c r="J17" s="7">
        <f>COUNTIFS('V12 - Secure Communication'!$F$2:$F$16,"Compliant",'V12 - Secure Communication'!$E$2:$E$16,3)</f>
        <v/>
      </c>
      <c r="K17" s="8">
        <f>IF(I17=0,"",J17/I17)</f>
        <v/>
      </c>
      <c r="L17" s="7">
        <f>COUNTIF('V12 - Secure Communication'!$F$2:$F$16,"Compliant")</f>
        <v/>
      </c>
      <c r="M17" s="8">
        <f>IF(B17=0,"",L17/B17)</f>
        <v/>
      </c>
    </row>
    <row r="18" ht="18" customHeight="1" s="35">
      <c r="A18" s="3" t="inlineStr">
        <is>
          <t>V13 – Configuration</t>
        </is>
      </c>
      <c r="B18" s="4" t="n">
        <v>21</v>
      </c>
      <c r="C18" s="4" t="n">
        <v>1</v>
      </c>
      <c r="D18" s="4">
        <f>COUNTIFS('V13 - Configuration'!$F$2:$F$26,"Compliant",'V13 - Configuration'!$E$2:$E$26,1)</f>
        <v/>
      </c>
      <c r="E18" s="5">
        <f>IF(C18=0,"",D18/C18)</f>
        <v/>
      </c>
      <c r="F18" s="4" t="n">
        <v>12</v>
      </c>
      <c r="G18" s="4">
        <f>COUNTIFS('V13 - Configuration'!$F$2:$F$26,"Compliant",'V13 - Configuration'!$E$2:$E$26,2)</f>
        <v/>
      </c>
      <c r="H18" s="5">
        <f>IF(F18=0,"",G18/F18)</f>
        <v/>
      </c>
      <c r="I18" s="4" t="n">
        <v>8</v>
      </c>
      <c r="J18" s="4">
        <f>COUNTIFS('V13 - Configuration'!$F$2:$F$26,"Compliant",'V13 - Configuration'!$E$2:$E$26,3)</f>
        <v/>
      </c>
      <c r="K18" s="5">
        <f>IF(I18=0,"",J18/I18)</f>
        <v/>
      </c>
      <c r="L18" s="4">
        <f>COUNTIF('V13 - Configuration'!$F$2:$F$26,"Compliant")</f>
        <v/>
      </c>
      <c r="M18" s="5">
        <f>IF(B18=0,"",L18/B18)</f>
        <v/>
      </c>
    </row>
    <row r="19" ht="18" customHeight="1" s="35">
      <c r="A19" s="6" t="inlineStr">
        <is>
          <t>V14 – Data Protection</t>
        </is>
      </c>
      <c r="B19" s="7" t="n">
        <v>13</v>
      </c>
      <c r="C19" s="7" t="n">
        <v>2</v>
      </c>
      <c r="D19" s="7">
        <f>COUNTIFS('V14 - Data Protection'!$F$2:$F$17,"Compliant",'V14 - Data Protection'!$E$2:$E$17,1)</f>
        <v/>
      </c>
      <c r="E19" s="8">
        <f>IF(C19=0,"",D19/C19)</f>
        <v/>
      </c>
      <c r="F19" s="7" t="n">
        <v>7</v>
      </c>
      <c r="G19" s="7">
        <f>COUNTIFS('V14 - Data Protection'!$F$2:$F$17,"Compliant",'V14 - Data Protection'!$E$2:$E$17,2)</f>
        <v/>
      </c>
      <c r="H19" s="8">
        <f>IF(F19=0,"",G19/F19)</f>
        <v/>
      </c>
      <c r="I19" s="7" t="n">
        <v>4</v>
      </c>
      <c r="J19" s="7">
        <f>COUNTIFS('V14 - Data Protection'!$F$2:$F$17,"Compliant",'V14 - Data Protection'!$E$2:$E$17,3)</f>
        <v/>
      </c>
      <c r="K19" s="8">
        <f>IF(I19=0,"",J19/I19)</f>
        <v/>
      </c>
      <c r="L19" s="7">
        <f>COUNTIF('V14 - Data Protection'!$F$2:$F$17,"Compliant")</f>
        <v/>
      </c>
      <c r="M19" s="8">
        <f>IF(B19=0,"",L19/B19)</f>
        <v/>
      </c>
    </row>
    <row r="20" ht="18" customHeight="1" s="35">
      <c r="A20" s="3" t="inlineStr">
        <is>
          <t>V15 – Secure Coding and Architecture</t>
        </is>
      </c>
      <c r="B20" s="4" t="n">
        <v>21</v>
      </c>
      <c r="C20" s="4" t="n">
        <v>3</v>
      </c>
      <c r="D20" s="4">
        <f>COUNTIFS('V15 - Secure Coding and Archite'!$F$2:$F$26,"Compliant",'V15 - Secure Coding and Archite'!$E$2:$E$26,1)</f>
        <v/>
      </c>
      <c r="E20" s="5">
        <f>IF(C20=0,"",D20/C20)</f>
        <v/>
      </c>
      <c r="F20" s="4" t="n">
        <v>10</v>
      </c>
      <c r="G20" s="4">
        <f>COUNTIFS('V15 - Secure Coding and Archite'!$F$2:$F$26,"Compliant",'V15 - Secure Coding and Archite'!$E$2:$E$26,2)</f>
        <v/>
      </c>
      <c r="H20" s="5">
        <f>IF(F20=0,"",G20/F20)</f>
        <v/>
      </c>
      <c r="I20" s="4" t="n">
        <v>8</v>
      </c>
      <c r="J20" s="4">
        <f>COUNTIFS('V15 - Secure Coding and Archite'!$F$2:$F$26,"Compliant",'V15 - Secure Coding and Archite'!$E$2:$E$26,3)</f>
        <v/>
      </c>
      <c r="K20" s="5">
        <f>IF(I20=0,"",J20/I20)</f>
        <v/>
      </c>
      <c r="L20" s="4">
        <f>COUNTIF('V15 - Secure Coding and Archite'!$F$2:$F$26,"Compliant")</f>
        <v/>
      </c>
      <c r="M20" s="5">
        <f>IF(B20=0,"",L20/B20)</f>
        <v/>
      </c>
    </row>
    <row r="21" ht="18" customHeight="1" s="35">
      <c r="A21" s="6" t="inlineStr">
        <is>
          <t>V16 – Security Logging and Error Handling</t>
        </is>
      </c>
      <c r="B21" s="7" t="n">
        <v>17</v>
      </c>
      <c r="C21" s="7" t="n">
        <v>0</v>
      </c>
      <c r="D21" s="7" t="inlineStr">
        <is>
          <t>N/A</t>
        </is>
      </c>
      <c r="E21" s="7" t="inlineStr">
        <is>
          <t>N/A</t>
        </is>
      </c>
      <c r="F21" s="7" t="n">
        <v>16</v>
      </c>
      <c r="G21" s="7">
        <f>COUNTIFS('V16 - Security Logging and Erro'!$F$2:$F$23,"Compliant",'V16 - Security Logging and Erro'!$E$2:$E$23,2)</f>
        <v/>
      </c>
      <c r="H21" s="8">
        <f>IF(F21=0,"",G21/F21)</f>
        <v/>
      </c>
      <c r="I21" s="7" t="n">
        <v>1</v>
      </c>
      <c r="J21" s="7">
        <f>COUNTIFS('V16 - Security Logging and Erro'!$F$2:$F$23,"Compliant",'V16 - Security Logging and Erro'!$E$2:$E$23,3)</f>
        <v/>
      </c>
      <c r="K21" s="8">
        <f>IF(I21=0,"",J21/I21)</f>
        <v/>
      </c>
      <c r="L21" s="7">
        <f>COUNTIF('V16 - Security Logging and Erro'!$F$2:$F$23,"Compliant")</f>
        <v/>
      </c>
      <c r="M21" s="8">
        <f>IF(B21=0,"",L21/B21)</f>
        <v/>
      </c>
    </row>
    <row r="22" ht="18" customHeight="1" s="35">
      <c r="A22" s="3" t="inlineStr">
        <is>
          <t>V17 – WebRTC</t>
        </is>
      </c>
      <c r="B22" s="4" t="n">
        <v>12</v>
      </c>
      <c r="C22" s="4" t="n">
        <v>0</v>
      </c>
      <c r="D22" s="4" t="inlineStr">
        <is>
          <t>N/A</t>
        </is>
      </c>
      <c r="E22" s="4" t="inlineStr">
        <is>
          <t>N/A</t>
        </is>
      </c>
      <c r="F22" s="4" t="n">
        <v>7</v>
      </c>
      <c r="G22" s="4">
        <f>COUNTIFS('V17 - WebRTC'!$F$2:$F$16,"Compliant",'V17 - WebRTC'!$E$2:$E$16,2)</f>
        <v/>
      </c>
      <c r="H22" s="5">
        <f>IF(F22=0,"",G22/F22)</f>
        <v/>
      </c>
      <c r="I22" s="4" t="n">
        <v>5</v>
      </c>
      <c r="J22" s="4">
        <f>COUNTIFS('V17 - WebRTC'!$F$2:$F$16,"Compliant",'V17 - WebRTC'!$E$2:$E$16,3)</f>
        <v/>
      </c>
      <c r="K22" s="5">
        <f>IF(I22=0,"",J22/I22)</f>
        <v/>
      </c>
      <c r="L22" s="4">
        <f>COUNTIF('V17 - WebRTC'!$F$2:$F$16,"Compliant")</f>
        <v/>
      </c>
      <c r="M22" s="5">
        <f>IF(B22=0,"",L22/B22)</f>
        <v/>
      </c>
    </row>
    <row r="23" ht="21.95" customHeight="1" s="35">
      <c r="A23" s="9" t="inlineStr">
        <is>
          <t>TOTAL</t>
        </is>
      </c>
      <c r="B23" s="10">
        <f>SUM(B6:B22)</f>
        <v/>
      </c>
      <c r="C23" s="10">
        <f>SUM(C6:C22)</f>
        <v/>
      </c>
      <c r="D23" s="10">
        <f>SUM(D6:D22)</f>
        <v/>
      </c>
      <c r="E23" s="11">
        <f>IFERROR(AVERAGE(E6:E22),"")</f>
        <v/>
      </c>
      <c r="F23" s="10">
        <f>SUM(F6:F22)</f>
        <v/>
      </c>
      <c r="G23" s="10">
        <f>SUM(G6:G22)</f>
        <v/>
      </c>
      <c r="H23" s="11">
        <f>IFERROR(AVERAGE(H6:H22),"")</f>
        <v/>
      </c>
      <c r="I23" s="10">
        <f>SUM(I6:I22)</f>
        <v/>
      </c>
      <c r="J23" s="10">
        <f>SUM(J6:J22)</f>
        <v/>
      </c>
      <c r="K23" s="11">
        <f>IFERROR(AVERAGE(K6:K22),"")</f>
        <v/>
      </c>
      <c r="L23" s="10">
        <f>SUM(L6:L22)</f>
        <v/>
      </c>
      <c r="M23" s="11">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ColWidth="8.85546875" defaultRowHeight="15"/>
  <cols>
    <col width="110" customWidth="1" style="35" min="1" max="1"/>
  </cols>
  <sheetData>
    <row r="1" ht="18.75" customHeight="1" s="35">
      <c r="A1" s="24" t="inlineStr">
        <is>
          <t>Assessment methodology</t>
        </is>
      </c>
    </row>
    <row r="2">
      <c r="A2" s="25" t="n"/>
    </row>
    <row r="3">
      <c r="A3" s="26" t="inlineStr">
        <is>
          <t>Scope</t>
        </is>
      </c>
    </row>
    <row r="4">
      <c r="A4" s="25" t="inlineStr">
        <is>
          <t>Filled conservatively from the uploaded Phase 1 documents only.</t>
        </is>
      </c>
    </row>
    <row r="5" ht="30" customHeight="1" s="35">
      <c r="A5" s="25" t="inlineStr">
        <is>
          <t>GhostReport is treated as a backend-focused whistleblowing API with anonymous reporting, internal staff auth, file upload/storage, and logging.</t>
        </is>
      </c>
    </row>
    <row r="6">
      <c r="A6" s="25" t="n"/>
    </row>
    <row r="7">
      <c r="A7" s="26" t="inlineStr">
        <is>
          <t>Status logic</t>
        </is>
      </c>
    </row>
    <row r="8">
      <c r="A8" s="25" t="inlineStr">
        <is>
          <t>Compliant = explicitly supported by the uploaded docs.</t>
        </is>
      </c>
    </row>
    <row r="9">
      <c r="A9" s="25" t="inlineStr">
        <is>
          <t>In Progress = clearly relevant / planned, but implementation or config detail is still missing.</t>
        </is>
      </c>
    </row>
    <row r="10" ht="30" customHeight="1" s="35">
      <c r="A10" s="25" t="inlineStr">
        <is>
          <t>Not Applicable = out of scope for this backend-only deliverable (for example OAuth/OIDC, WebRTC, many browser-only controls).</t>
        </is>
      </c>
    </row>
    <row r="11">
      <c r="A11" s="25" t="n"/>
    </row>
    <row r="12">
      <c r="A12" s="26" t="inlineStr">
        <is>
          <t>Important note about the template</t>
        </is>
      </c>
    </row>
    <row r="13">
      <c r="A13" s="25" t="inlineStr">
        <is>
          <t>The Summary sheet counts all requirements, so Not Applicable rows still reduce the displayed percentages.</t>
        </is>
      </c>
    </row>
    <row r="14">
      <c r="A14" s="25" t="n"/>
    </row>
    <row r="15">
      <c r="A15" s="26" t="inlineStr">
        <is>
          <t>Primary sources used</t>
        </is>
      </c>
    </row>
    <row r="16">
      <c r="A16" s="25" t="inlineStr">
        <is>
          <t>DESOFS - Phase 1.docx</t>
        </is>
      </c>
    </row>
    <row r="17">
      <c r="A17" s="25" t="inlineStr">
        <is>
          <t>Project.pdf</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6"/>
  <sheetViews>
    <sheetView topLeftCell="A3" zoomScale="80" zoomScaleNormal="80" workbookViewId="0">
      <selection activeCell="H36" sqref="H36"/>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4.42578125" bestFit="1"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V1.1</t>
        </is>
      </c>
      <c r="B2" s="13" t="inlineStr">
        <is>
          <t>Encoding and Sanitization Architecture</t>
        </is>
      </c>
      <c r="C2" s="13" t="n"/>
      <c r="D2" s="13" t="n"/>
      <c r="E2" s="13" t="n"/>
      <c r="F2" s="13" t="n"/>
      <c r="G2" s="13" t="n"/>
      <c r="H2" s="13" t="n"/>
    </row>
    <row r="3" ht="75" customHeight="1" s="35">
      <c r="A3" s="14" t="inlineStr">
        <is>
          <t>V1.1</t>
        </is>
      </c>
      <c r="B3" s="14" t="inlineStr">
        <is>
          <t>Encoding and Sanitization Architecture</t>
        </is>
      </c>
      <c r="C3" s="15" t="inlineStr">
        <is>
          <t>V1.1.1</t>
        </is>
      </c>
      <c r="D3" s="16"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17" t="n">
        <v>2</v>
      </c>
      <c r="F3" s="39" t="inlineStr">
        <is>
          <t>Partially Compliant</t>
        </is>
      </c>
      <c r="G3" s="16" t="inlineStr">
        <is>
          <t>Backend uses DTO validation, domain primitives and JPA parameter binding; frontend output encoding/CSP still needs hardening.</t>
        </is>
      </c>
      <c r="H3" s="16" t="inlineStr">
        <is>
          <t>docs/ASVS_EVIDENCE.md; ghostreport/src/main/java/com/ghostreport/domain; ghostreport/src/test/java/com/ghostreport/domain</t>
        </is>
      </c>
    </row>
    <row r="4" ht="60" customHeight="1" s="35">
      <c r="A4" s="19" t="inlineStr">
        <is>
          <t>V1.1</t>
        </is>
      </c>
      <c r="B4" s="19" t="inlineStr">
        <is>
          <t>Encoding and Sanitization Architecture</t>
        </is>
      </c>
      <c r="C4" s="20" t="inlineStr">
        <is>
          <t>V1.1.2</t>
        </is>
      </c>
      <c r="D4" s="21" t="inlineStr">
        <is>
          <t>Verify that the application performs output encoding and escaping either as a final step before being used by the interpreter for which it is intended or by the interpreter itself.</t>
        </is>
      </c>
      <c r="E4" s="17" t="n">
        <v>2</v>
      </c>
      <c r="F4" s="39" t="inlineStr">
        <is>
          <t>Partially Compliant</t>
        </is>
      </c>
      <c r="G4" s="21" t="inlineStr">
        <is>
          <t>Backend uses DTO validation, domain primitives and JPA parameter binding; frontend output encoding/CSP still needs hardening.</t>
        </is>
      </c>
      <c r="H4" s="21" t="inlineStr">
        <is>
          <t>docs/ASVS_EVIDENCE.md; ghostreport/src/main/java/com/ghostreport/domain; ghostreport/src/test/java/com/ghostreport/domain</t>
        </is>
      </c>
    </row>
    <row r="5" ht="18" customHeight="1" s="35">
      <c r="A5" s="13" t="inlineStr">
        <is>
          <t>V1.2</t>
        </is>
      </c>
      <c r="B5" s="13" t="inlineStr">
        <is>
          <t>Injection Prevention</t>
        </is>
      </c>
      <c r="C5" s="13" t="n"/>
      <c r="D5" s="13" t="n"/>
      <c r="E5" s="13" t="n"/>
      <c r="F5" s="13" t="n"/>
      <c r="G5" s="13" t="n"/>
      <c r="H5" s="13" t="n"/>
    </row>
    <row r="6" ht="90" customHeight="1" s="35">
      <c r="A6" s="14" t="inlineStr">
        <is>
          <t>V1.2</t>
        </is>
      </c>
      <c r="B6" s="14" t="inlineStr">
        <is>
          <t>Injection Prevention</t>
        </is>
      </c>
      <c r="C6" s="15" t="inlineStr">
        <is>
          <t>V1.2.1</t>
        </is>
      </c>
      <c r="D6" s="16"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22" t="n">
        <v>1</v>
      </c>
      <c r="F6" s="39" t="inlineStr">
        <is>
          <t>Partially Compliant</t>
        </is>
      </c>
      <c r="G6" s="16" t="inlineStr">
        <is>
          <t>Backend uses DTO validation, domain primitives and JPA parameter binding; frontend output encoding/CSP still needs hardening.</t>
        </is>
      </c>
      <c r="H6" s="16" t="inlineStr">
        <is>
          <t>docs/ASVS_EVIDENCE.md; ghostreport/src/main/java/com/ghostreport/domain; ghostreport/src/test/java/com/ghostreport/domain</t>
        </is>
      </c>
    </row>
    <row r="7" ht="60" customHeight="1" s="35">
      <c r="A7" s="19" t="inlineStr">
        <is>
          <t>V1.2</t>
        </is>
      </c>
      <c r="B7" s="19" t="inlineStr">
        <is>
          <t>Injection Prevention</t>
        </is>
      </c>
      <c r="C7" s="20" t="inlineStr">
        <is>
          <t>V1.2.2</t>
        </is>
      </c>
      <c r="D7" s="21" t="inlineStr">
        <is>
          <t>Verify that when dynamically building URLs, untrusted data is encoded according to its context (e.g., URL encoding or base64url encoding for query or path parameters). Ensure that only safe URL protocols are permitted (e.g., disallow javascript: or data:).</t>
        </is>
      </c>
      <c r="E7" s="22" t="n">
        <v>1</v>
      </c>
      <c r="F7" s="39" t="inlineStr">
        <is>
          <t>Partially Compliant</t>
        </is>
      </c>
      <c r="G7" s="21" t="inlineStr">
        <is>
          <t>Backend uses DTO validation, domain primitives and JPA parameter binding; frontend output encoding/CSP still needs hardening.</t>
        </is>
      </c>
      <c r="H7" s="21" t="inlineStr">
        <is>
          <t>docs/ASVS_EVIDENCE.md; ghostreport/src/main/java/com/ghostreport/domain; ghostreport/src/test/java/com/ghostreport/domain</t>
        </is>
      </c>
    </row>
    <row r="8" ht="60" customHeight="1" s="35">
      <c r="A8" s="14" t="inlineStr">
        <is>
          <t>V1.2</t>
        </is>
      </c>
      <c r="B8" s="14" t="inlineStr">
        <is>
          <t>Injection Prevention</t>
        </is>
      </c>
      <c r="C8" s="15" t="inlineStr">
        <is>
          <t>V1.2.3</t>
        </is>
      </c>
      <c r="D8" s="16" t="inlineStr">
        <is>
          <t>Verify that output encoding or escaping is used when dynamically building JavaScript content (including JSON), to avoid changing the message or document structure (to avoid JavaScript and JSON injection).</t>
        </is>
      </c>
      <c r="E8" s="22" t="n">
        <v>1</v>
      </c>
      <c r="F8" s="39" t="inlineStr">
        <is>
          <t>Partially Compliant</t>
        </is>
      </c>
      <c r="G8" s="16" t="inlineStr">
        <is>
          <t>Backend uses DTO validation, domain primitives and JPA parameter binding; frontend output encoding/CSP still needs hardening.</t>
        </is>
      </c>
      <c r="H8" s="16" t="inlineStr">
        <is>
          <t>docs/ASVS_EVIDENCE.md; ghostreport/src/main/java/com/ghostreport/domain; ghostreport/src/test/java/com/ghostreport/domain</t>
        </is>
      </c>
    </row>
    <row r="9" ht="75" customHeight="1" s="35">
      <c r="A9" s="19" t="inlineStr">
        <is>
          <t>V1.2</t>
        </is>
      </c>
      <c r="B9" s="19" t="inlineStr">
        <is>
          <t>Injection Prevention</t>
        </is>
      </c>
      <c r="C9" s="20" t="inlineStr">
        <is>
          <t>V1.2.4</t>
        </is>
      </c>
      <c r="D9" s="21"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22" t="n">
        <v>1</v>
      </c>
      <c r="F9" s="40" t="inlineStr">
        <is>
          <t>Compliant</t>
        </is>
      </c>
      <c r="G9" s="21" t="inlineStr">
        <is>
          <t>Database access uses Spring Data JPA/ORM repositories and parameterized queries, not concatenated SQL.</t>
        </is>
      </c>
      <c r="H9" s="21" t="inlineStr">
        <is>
          <t>ghostreport/src/main/java/com/ghostreport/repository</t>
        </is>
      </c>
    </row>
    <row r="10" ht="45" customHeight="1" s="35">
      <c r="A10" s="14" t="inlineStr">
        <is>
          <t>V1.2</t>
        </is>
      </c>
      <c r="B10" s="14" t="inlineStr">
        <is>
          <t>Injection Prevention</t>
        </is>
      </c>
      <c r="C10" s="15" t="inlineStr">
        <is>
          <t>V1.2.5</t>
        </is>
      </c>
      <c r="D10" s="16" t="inlineStr">
        <is>
          <t>Verify that the application protects against OS command injection and that operating system calls use parameterized OS queries or use contextual command line output encoding.</t>
        </is>
      </c>
      <c r="E10" s="22" t="n">
        <v>1</v>
      </c>
      <c r="F10" s="39" t="inlineStr">
        <is>
          <t>Partially Compliant</t>
        </is>
      </c>
      <c r="G10" s="16" t="inlineStr">
        <is>
          <t>Backend uses DTO validation, domain primitives and JPA parameter binding; frontend output encoding/CSP still needs hardening.</t>
        </is>
      </c>
      <c r="H10" s="16" t="inlineStr">
        <is>
          <t>docs/ASVS_EVIDENCE.md; ghostreport/src/main/java/com/ghostreport/domain; ghostreport/src/test/java/com/ghostreport/domain</t>
        </is>
      </c>
    </row>
    <row r="11" ht="45" customHeight="1" s="35">
      <c r="A11" s="19" t="inlineStr">
        <is>
          <t>V1.2</t>
        </is>
      </c>
      <c r="B11" s="19" t="inlineStr">
        <is>
          <t>Injection Prevention</t>
        </is>
      </c>
      <c r="C11" s="20" t="inlineStr">
        <is>
          <t>V1.2.6</t>
        </is>
      </c>
      <c r="D11" s="21" t="inlineStr">
        <is>
          <t>Verify that the application protects against LDAP injection vulnerabilities, or that specific security controls to prevent LDAP injection have been implemented.</t>
        </is>
      </c>
      <c r="E11" s="17" t="n">
        <v>2</v>
      </c>
      <c r="F11" s="39" t="inlineStr">
        <is>
          <t>Partially Compliant</t>
        </is>
      </c>
      <c r="G11" s="21" t="inlineStr">
        <is>
          <t>Backend uses DTO validation, domain primitives and JPA parameter binding; frontend output encoding/CSP still needs hardening.</t>
        </is>
      </c>
      <c r="H11" s="21" t="inlineStr">
        <is>
          <t>docs/ASVS_EVIDENCE.md; ghostreport/src/main/java/com/ghostreport/domain; ghostreport/src/test/java/com/ghostreport/domain</t>
        </is>
      </c>
    </row>
    <row r="12" ht="30" customHeight="1" s="35">
      <c r="A12" s="14" t="inlineStr">
        <is>
          <t>V1.2</t>
        </is>
      </c>
      <c r="B12" s="14" t="inlineStr">
        <is>
          <t>Injection Prevention</t>
        </is>
      </c>
      <c r="C12" s="15" t="inlineStr">
        <is>
          <t>V1.2.7</t>
        </is>
      </c>
      <c r="D12" s="16" t="inlineStr">
        <is>
          <t>Verify that the application is protected against XPath injection attacks by using query parameterization or precompiled queries.</t>
        </is>
      </c>
      <c r="E12" s="17" t="n">
        <v>2</v>
      </c>
      <c r="F12" s="39" t="inlineStr">
        <is>
          <t>Partially Compliant</t>
        </is>
      </c>
      <c r="G12" s="16" t="inlineStr">
        <is>
          <t>Backend uses DTO validation, domain primitives and JPA parameter binding; frontend output encoding/CSP still needs hardening.</t>
        </is>
      </c>
      <c r="H12" s="16" t="inlineStr">
        <is>
          <t>docs/ASVS_EVIDENCE.md; ghostreport/src/main/java/com/ghostreport/domain; ghostreport/src/test/java/com/ghostreport/domain</t>
        </is>
      </c>
    </row>
    <row r="13" ht="45" customHeight="1" s="35">
      <c r="A13" s="19" t="inlineStr">
        <is>
          <t>V1.2</t>
        </is>
      </c>
      <c r="B13" s="19" t="inlineStr">
        <is>
          <t>Injection Prevention</t>
        </is>
      </c>
      <c r="C13" s="20" t="inlineStr">
        <is>
          <t>V1.2.8</t>
        </is>
      </c>
      <c r="D13" s="21" t="inlineStr">
        <is>
          <t>Verify that LaTeX processors are configured securely (such as not using the "--shell-escape" flag) and an allowlist of commands is used to prevent LaTeX injection attacks.</t>
        </is>
      </c>
      <c r="E13" s="17" t="n">
        <v>2</v>
      </c>
      <c r="F13" s="39" t="inlineStr">
        <is>
          <t>Partially Compliant</t>
        </is>
      </c>
      <c r="G13" s="21" t="inlineStr">
        <is>
          <t>Backend uses DTO validation, domain primitives and JPA parameter binding; frontend output encoding/CSP still needs hardening.</t>
        </is>
      </c>
      <c r="H13" s="21" t="inlineStr">
        <is>
          <t>docs/ASVS_EVIDENCE.md; ghostreport/src/main/java/com/ghostreport/domain; ghostreport/src/test/java/com/ghostreport/domain</t>
        </is>
      </c>
    </row>
    <row r="14" ht="45" customHeight="1" s="35">
      <c r="A14" s="14" t="inlineStr">
        <is>
          <t>V1.2</t>
        </is>
      </c>
      <c r="B14" s="14" t="inlineStr">
        <is>
          <t>Injection Prevention</t>
        </is>
      </c>
      <c r="C14" s="15" t="inlineStr">
        <is>
          <t>V1.2.9</t>
        </is>
      </c>
      <c r="D14" s="16" t="inlineStr">
        <is>
          <t>Verify that the application escapes special characters in regular expressions (typically using a backslash) to prevent them from being misinterpreted as metacharacters.</t>
        </is>
      </c>
      <c r="E14" s="17" t="n">
        <v>2</v>
      </c>
      <c r="F14" s="39" t="inlineStr">
        <is>
          <t>Partially Compliant</t>
        </is>
      </c>
      <c r="G14" s="16" t="inlineStr">
        <is>
          <t>Backend uses DTO validation, domain primitives and JPA parameter binding; frontend output encoding/CSP still needs hardening.</t>
        </is>
      </c>
      <c r="H14" s="16" t="inlineStr">
        <is>
          <t>docs/ASVS_EVIDENCE.md; ghostreport/src/main/java/com/ghostreport/domain; ghostreport/src/test/java/com/ghostreport/domain</t>
        </is>
      </c>
    </row>
    <row r="15" ht="120" customHeight="1" s="35">
      <c r="A15" s="19" t="inlineStr">
        <is>
          <t>V1.2</t>
        </is>
      </c>
      <c r="B15" s="19" t="inlineStr">
        <is>
          <t>Injection Prevention</t>
        </is>
      </c>
      <c r="C15" s="20" t="inlineStr">
        <is>
          <t>V1.2.10</t>
        </is>
      </c>
      <c r="D15" s="21"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23" t="n">
        <v>3</v>
      </c>
      <c r="F15" s="39" t="inlineStr">
        <is>
          <t>Partially Compliant</t>
        </is>
      </c>
      <c r="G15" s="21" t="inlineStr">
        <is>
          <t>Backend uses DTO validation, domain primitives and JPA parameter binding; frontend output encoding/CSP still needs hardening.</t>
        </is>
      </c>
      <c r="H15" s="21" t="inlineStr">
        <is>
          <t>docs/ASVS_EVIDENCE.md; ghostreport/src/main/java/com/ghostreport/domain; ghostreport/src/test/java/com/ghostreport/domain</t>
        </is>
      </c>
    </row>
    <row r="16" ht="18" customHeight="1" s="35">
      <c r="A16" s="13" t="inlineStr">
        <is>
          <t>V1.3</t>
        </is>
      </c>
      <c r="B16" s="13" t="inlineStr">
        <is>
          <t>Sanitization</t>
        </is>
      </c>
      <c r="C16" s="13" t="n"/>
      <c r="D16" s="13" t="n"/>
      <c r="E16" s="13" t="n"/>
      <c r="F16" s="13" t="n"/>
      <c r="G16" s="13" t="n"/>
      <c r="H16" s="13" t="n"/>
    </row>
    <row r="17" ht="45" customHeight="1" s="35">
      <c r="A17" s="14" t="inlineStr">
        <is>
          <t>V1.3</t>
        </is>
      </c>
      <c r="B17" s="14" t="inlineStr">
        <is>
          <t>Sanitization</t>
        </is>
      </c>
      <c r="C17" s="15" t="inlineStr">
        <is>
          <t>V1.3.1</t>
        </is>
      </c>
      <c r="D17" s="16" t="inlineStr">
        <is>
          <t>Verify that all untrusted HTML input from WYSIWYG editors or similar is sanitized using a well-known and secure HTML sanitization library or framework feature.</t>
        </is>
      </c>
      <c r="E17" s="22" t="n">
        <v>1</v>
      </c>
      <c r="F17" s="39" t="inlineStr">
        <is>
          <t>Partially Compliant</t>
        </is>
      </c>
      <c r="G17" s="16" t="inlineStr">
        <is>
          <t>Backend uses DTO validation, domain primitives and JPA parameter binding; frontend output encoding/CSP still needs hardening.</t>
        </is>
      </c>
      <c r="H17" s="16" t="inlineStr">
        <is>
          <t>docs/ASVS_EVIDENCE.md; ghostreport/src/main/java/com/ghostreport/domain; ghostreport/src/test/java/com/ghostreport/domain</t>
        </is>
      </c>
    </row>
    <row r="18" ht="78" customHeight="1" s="35">
      <c r="A18" s="19" t="inlineStr">
        <is>
          <t>V1.3</t>
        </is>
      </c>
      <c r="B18" s="19" t="inlineStr">
        <is>
          <t>Sanitization</t>
        </is>
      </c>
      <c r="C18" s="20" t="inlineStr">
        <is>
          <t>V1.3.2</t>
        </is>
      </c>
      <c r="D18" s="21" t="inlineStr">
        <is>
          <t>Verify that the application avoids the use of eval() or other dynamic code execution features such as Spring Expression Language (SpEL). Where there is no alternative, any user input being included must be sanitized before being executed.</t>
        </is>
      </c>
      <c r="E18" s="22" t="n">
        <v>1</v>
      </c>
      <c r="F18" s="39" t="inlineStr">
        <is>
          <t>Partially Compliant</t>
        </is>
      </c>
      <c r="G18" s="21" t="inlineStr">
        <is>
          <t>Backend uses DTO validation, domain primitives and JPA parameter binding; frontend output encoding/CSP still needs hardening.</t>
        </is>
      </c>
      <c r="H18" s="21" t="inlineStr">
        <is>
          <t>docs/ASVS_EVIDENCE.md; ghostreport/src/main/java/com/ghostreport/domain; ghostreport/src/test/java/com/ghostreport/domain</t>
        </is>
      </c>
    </row>
    <row r="19" ht="60" customHeight="1" s="35">
      <c r="A19" s="14" t="inlineStr">
        <is>
          <t>V1.3</t>
        </is>
      </c>
      <c r="B19" s="14" t="inlineStr">
        <is>
          <t>Sanitization</t>
        </is>
      </c>
      <c r="C19" s="15" t="inlineStr">
        <is>
          <t>V1.3.3</t>
        </is>
      </c>
      <c r="D19" s="16" t="inlineStr">
        <is>
          <t>Verify that data being passed to a potentially dangerous context is sanitized beforehand to enforce safety measures, such as only allowing characters which are safe for this context and trimming input which is too long.</t>
        </is>
      </c>
      <c r="E19" s="17" t="n">
        <v>2</v>
      </c>
      <c r="F19" s="39" t="inlineStr">
        <is>
          <t>Partially Compliant</t>
        </is>
      </c>
      <c r="G19" s="16" t="inlineStr">
        <is>
          <t>Backend uses DTO validation, domain primitives and JPA parameter binding; frontend output encoding/CSP still needs hardening.</t>
        </is>
      </c>
      <c r="H19" s="16" t="inlineStr">
        <is>
          <t>docs/ASVS_EVIDENCE.md; ghostreport/src/main/java/com/ghostreport/domain; ghostreport/src/test/java/com/ghostreport/domain</t>
        </is>
      </c>
    </row>
    <row r="20" ht="78" customHeight="1" s="35">
      <c r="A20" s="19" t="inlineStr">
        <is>
          <t>V1.3</t>
        </is>
      </c>
      <c r="B20" s="19" t="inlineStr">
        <is>
          <t>Sanitization</t>
        </is>
      </c>
      <c r="C20" s="20" t="inlineStr">
        <is>
          <t>V1.3.4</t>
        </is>
      </c>
      <c r="D20" s="21" t="inlineStr">
        <is>
          <t>Verify that user-supplied Scalable Vector Graphics (SVG) scriptable content is validated or sanitized to contain only tags and attributes (such as draw graphics) that are safe for the application, e.g., do not contain scripts and foreignObject.</t>
        </is>
      </c>
      <c r="E20" s="17" t="n">
        <v>2</v>
      </c>
      <c r="F20" s="39" t="inlineStr">
        <is>
          <t>Partially Compliant</t>
        </is>
      </c>
      <c r="G20" s="21" t="inlineStr">
        <is>
          <t>Backend uses DTO validation, domain primitives and JPA parameter binding; frontend output encoding/CSP still needs hardening.</t>
        </is>
      </c>
      <c r="H20" s="21" t="inlineStr">
        <is>
          <t>docs/ASVS_EVIDENCE.md; ghostreport/src/main/java/com/ghostreport/domain; ghostreport/src/test/java/com/ghostreport/domain</t>
        </is>
      </c>
    </row>
    <row r="21" ht="30" customHeight="1" s="35">
      <c r="A21" s="14" t="inlineStr">
        <is>
          <t>V1.3</t>
        </is>
      </c>
      <c r="B21" s="14" t="inlineStr">
        <is>
          <t>Sanitization</t>
        </is>
      </c>
      <c r="C21" s="15" t="inlineStr">
        <is>
          <t>V1.3.5</t>
        </is>
      </c>
      <c r="D21" s="16" t="inlineStr">
        <is>
          <t>Verify that the application sanitizes or disables user-supplied scriptable or expression template language content, such as Markdown, CSS or XSL stylesheets, BBCode, or similar.</t>
        </is>
      </c>
      <c r="E21" s="17" t="n">
        <v>2</v>
      </c>
      <c r="F21" s="39" t="inlineStr">
        <is>
          <t>Partially Compliant</t>
        </is>
      </c>
      <c r="G21" s="16" t="inlineStr">
        <is>
          <t>Backend uses DTO validation, domain primitives and JPA parameter binding; frontend output encoding/CSP still needs hardening.</t>
        </is>
      </c>
      <c r="H21" s="16" t="inlineStr">
        <is>
          <t>docs/ASVS_EVIDENCE.md; ghostreport/src/main/java/com/ghostreport/domain; ghostreport/src/test/java/com/ghostreport/domain</t>
        </is>
      </c>
    </row>
    <row r="22" ht="75" customHeight="1" s="35">
      <c r="A22" s="19" t="inlineStr">
        <is>
          <t>V1.3</t>
        </is>
      </c>
      <c r="B22" s="19" t="inlineStr">
        <is>
          <t>Sanitization</t>
        </is>
      </c>
      <c r="C22" s="20" t="inlineStr">
        <is>
          <t>V1.3.6</t>
        </is>
      </c>
      <c r="D22" s="21"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17" t="n">
        <v>2</v>
      </c>
      <c r="F22" s="39" t="inlineStr">
        <is>
          <t>Partially Compliant</t>
        </is>
      </c>
      <c r="G22" s="21" t="inlineStr">
        <is>
          <t>Backend uses DTO validation, domain primitives and JPA parameter binding; frontend output encoding/CSP still needs hardening.</t>
        </is>
      </c>
      <c r="H22" s="21" t="inlineStr">
        <is>
          <t>docs/ASVS_EVIDENCE.md; ghostreport/src/main/java/com/ghostreport/domain; ghostreport/src/test/java/com/ghostreport/domain</t>
        </is>
      </c>
    </row>
    <row r="23" ht="75" customHeight="1" s="35">
      <c r="A23" s="14" t="inlineStr">
        <is>
          <t>V1.3</t>
        </is>
      </c>
      <c r="B23" s="14" t="inlineStr">
        <is>
          <t>Sanitization</t>
        </is>
      </c>
      <c r="C23" s="15" t="inlineStr">
        <is>
          <t>V1.3.7</t>
        </is>
      </c>
      <c r="D23" s="16"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17" t="n">
        <v>2</v>
      </c>
      <c r="F23" s="39" t="inlineStr">
        <is>
          <t>Partially Compliant</t>
        </is>
      </c>
      <c r="G23" s="16" t="inlineStr">
        <is>
          <t>Backend uses DTO validation, domain primitives and JPA parameter binding; frontend output encoding/CSP still needs hardening.</t>
        </is>
      </c>
      <c r="H23" s="16" t="inlineStr">
        <is>
          <t>docs/ASVS_EVIDENCE.md; ghostreport/src/main/java/com/ghostreport/domain; ghostreport/src/test/java/com/ghostreport/domain</t>
        </is>
      </c>
    </row>
    <row r="24" ht="60" customHeight="1" s="35">
      <c r="A24" s="19" t="inlineStr">
        <is>
          <t>V1.3</t>
        </is>
      </c>
      <c r="B24" s="19" t="inlineStr">
        <is>
          <t>Sanitization</t>
        </is>
      </c>
      <c r="C24" s="20" t="inlineStr">
        <is>
          <t>V1.3.8</t>
        </is>
      </c>
      <c r="D24" s="21" t="inlineStr">
        <is>
          <t>Verify that the application appropriately sanitizes untrusted input before use in Java Naming and Directory Interface (JNDI) queries and that JNDI is configured securely to prevent JNDI injection attacks.</t>
        </is>
      </c>
      <c r="E24" s="17" t="n">
        <v>2</v>
      </c>
      <c r="F24" s="39" t="inlineStr">
        <is>
          <t>Partially Compliant</t>
        </is>
      </c>
      <c r="G24" s="21" t="inlineStr">
        <is>
          <t>Backend uses DTO validation, domain primitives and JPA parameter binding; frontend output encoding/CSP still needs hardening.</t>
        </is>
      </c>
      <c r="H24" s="21" t="inlineStr">
        <is>
          <t>docs/ASVS_EVIDENCE.md; ghostreport/src/main/java/com/ghostreport/domain; ghostreport/src/test/java/com/ghostreport/domain</t>
        </is>
      </c>
    </row>
    <row r="25" ht="30" customHeight="1" s="35">
      <c r="A25" s="14" t="inlineStr">
        <is>
          <t>V1.3</t>
        </is>
      </c>
      <c r="B25" s="14" t="inlineStr">
        <is>
          <t>Sanitization</t>
        </is>
      </c>
      <c r="C25" s="15" t="inlineStr">
        <is>
          <t>V1.3.9</t>
        </is>
      </c>
      <c r="D25" s="16" t="inlineStr">
        <is>
          <t>Verify that the application sanitizes content before it is sent to memcache to prevent injection attacks.</t>
        </is>
      </c>
      <c r="E25" s="17" t="n">
        <v>2</v>
      </c>
      <c r="F25" s="39" t="inlineStr">
        <is>
          <t>Partially Compliant</t>
        </is>
      </c>
      <c r="G25" s="16" t="inlineStr">
        <is>
          <t>Backend uses DTO validation, domain primitives and JPA parameter binding; frontend output encoding/CSP still needs hardening.</t>
        </is>
      </c>
      <c r="H25" s="16" t="inlineStr">
        <is>
          <t>docs/ASVS_EVIDENCE.md; ghostreport/src/main/java/com/ghostreport/domain; ghostreport/src/test/java/com/ghostreport/domain</t>
        </is>
      </c>
    </row>
    <row r="26" ht="45" customHeight="1" s="35">
      <c r="A26" s="19" t="inlineStr">
        <is>
          <t>V1.3</t>
        </is>
      </c>
      <c r="B26" s="19" t="inlineStr">
        <is>
          <t>Sanitization</t>
        </is>
      </c>
      <c r="C26" s="20" t="inlineStr">
        <is>
          <t>V1.3.10</t>
        </is>
      </c>
      <c r="D26" s="21" t="inlineStr">
        <is>
          <t>Verify that format strings which might resolve in an unexpected or malicious way when used are sanitized before being processed.</t>
        </is>
      </c>
      <c r="E26" s="17" t="n">
        <v>2</v>
      </c>
      <c r="F26" s="39" t="inlineStr">
        <is>
          <t>Partially Compliant</t>
        </is>
      </c>
      <c r="G26" s="21" t="inlineStr">
        <is>
          <t>Backend uses DTO validation, domain primitives and JPA parameter binding; frontend output encoding/CSP still needs hardening.</t>
        </is>
      </c>
      <c r="H26" s="21" t="inlineStr">
        <is>
          <t>docs/ASVS_EVIDENCE.md; ghostreport/src/main/java/com/ghostreport/domain; ghostreport/src/test/java/com/ghostreport/domain</t>
        </is>
      </c>
    </row>
    <row r="27" ht="30" customHeight="1" s="35">
      <c r="A27" s="14" t="inlineStr">
        <is>
          <t>V1.3</t>
        </is>
      </c>
      <c r="B27" s="14" t="inlineStr">
        <is>
          <t>Sanitization</t>
        </is>
      </c>
      <c r="C27" s="15" t="inlineStr">
        <is>
          <t>V1.3.11</t>
        </is>
      </c>
      <c r="D27" s="16" t="inlineStr">
        <is>
          <t>Verify that the application sanitizes user input before passing to mail systems to protect against SMTP or IMAP injection.</t>
        </is>
      </c>
      <c r="E27" s="17" t="n">
        <v>2</v>
      </c>
      <c r="F27" s="39" t="inlineStr">
        <is>
          <t>Partially Compliant</t>
        </is>
      </c>
      <c r="G27" s="16" t="inlineStr">
        <is>
          <t>Backend uses DTO validation, domain primitives and JPA parameter binding; frontend output encoding/CSP still needs hardening.</t>
        </is>
      </c>
      <c r="H27" s="16" t="inlineStr">
        <is>
          <t>docs/ASVS_EVIDENCE.md; ghostreport/src/main/java/com/ghostreport/domain; ghostreport/src/test/java/com/ghostreport/domain</t>
        </is>
      </c>
    </row>
    <row r="28" ht="60" customHeight="1" s="35">
      <c r="A28" s="19" t="inlineStr">
        <is>
          <t>V1.3</t>
        </is>
      </c>
      <c r="B28" s="19" t="inlineStr">
        <is>
          <t>Sanitization</t>
        </is>
      </c>
      <c r="C28" s="20" t="inlineStr">
        <is>
          <t>V1.3.12</t>
        </is>
      </c>
      <c r="D28" s="21" t="inlineStr">
        <is>
          <t>Verify that regular expressions are free from elements causing exponential backtracking, and ensure untrusted input is sanitized to mitigate ReDoS or Runaway Regex attacks.</t>
        </is>
      </c>
      <c r="E28" s="23" t="n">
        <v>3</v>
      </c>
      <c r="F28" s="39" t="inlineStr">
        <is>
          <t>Partially Compliant</t>
        </is>
      </c>
      <c r="G28" s="21" t="inlineStr">
        <is>
          <t>Backend uses DTO validation, domain primitives and JPA parameter binding; frontend output encoding/CSP still needs hardening.</t>
        </is>
      </c>
      <c r="H28" s="21" t="inlineStr">
        <is>
          <t>docs/ASVS_EVIDENCE.md; ghostreport/src/main/java/com/ghostreport/domain; ghostreport/src/test/java/com/ghostreport/domain</t>
        </is>
      </c>
    </row>
    <row r="29" ht="18" customHeight="1" s="35">
      <c r="A29" s="13" t="inlineStr">
        <is>
          <t>V1.4</t>
        </is>
      </c>
      <c r="B29" s="13" t="inlineStr">
        <is>
          <t>Memory, String, and Unmanaged Code</t>
        </is>
      </c>
      <c r="C29" s="13" t="n"/>
      <c r="D29" s="13" t="n"/>
      <c r="E29" s="13" t="n"/>
      <c r="F29" s="13" t="n"/>
      <c r="G29" s="13" t="n"/>
      <c r="H29" s="13" t="n"/>
    </row>
    <row r="30" ht="30" customHeight="1" s="35">
      <c r="A30" s="14" t="inlineStr">
        <is>
          <t>V1.4</t>
        </is>
      </c>
      <c r="B30" s="14" t="inlineStr">
        <is>
          <t>Memory, String, and Unmanaged Code</t>
        </is>
      </c>
      <c r="C30" s="15" t="inlineStr">
        <is>
          <t>V1.4.1</t>
        </is>
      </c>
      <c r="D30" s="16" t="inlineStr">
        <is>
          <t>Verify that the application uses memory-safe string, safer memory copy and pointer arithmetic to detect or prevent stack, buffer, or heap overflows.</t>
        </is>
      </c>
      <c r="E30" s="17" t="n">
        <v>2</v>
      </c>
      <c r="F30" s="39" t="inlineStr">
        <is>
          <t>Partially Compliant</t>
        </is>
      </c>
      <c r="G30" s="16" t="inlineStr">
        <is>
          <t>Backend uses DTO validation, domain primitives and JPA parameter binding; frontend output encoding/CSP still needs hardening.</t>
        </is>
      </c>
      <c r="H30" s="16" t="inlineStr">
        <is>
          <t>docs/ASVS_EVIDENCE.md; ghostreport/src/main/java/com/ghostreport/domain; ghostreport/src/test/java/com/ghostreport/domain</t>
        </is>
      </c>
    </row>
    <row r="31" ht="30" customHeight="1" s="35">
      <c r="A31" s="19" t="inlineStr">
        <is>
          <t>V1.4</t>
        </is>
      </c>
      <c r="B31" s="19" t="inlineStr">
        <is>
          <t>Memory, String, and Unmanaged Code</t>
        </is>
      </c>
      <c r="C31" s="20" t="inlineStr">
        <is>
          <t>V1.4.2</t>
        </is>
      </c>
      <c r="D31" s="21" t="inlineStr">
        <is>
          <t>Verify that sign, range, and input validation techniques are used to prevent integer overflows.</t>
        </is>
      </c>
      <c r="E31" s="17" t="n">
        <v>2</v>
      </c>
      <c r="F31" s="39" t="inlineStr">
        <is>
          <t>Partially Compliant</t>
        </is>
      </c>
      <c r="G31" s="21" t="inlineStr">
        <is>
          <t>Backend uses DTO validation, domain primitives and JPA parameter binding; frontend output encoding/CSP still needs hardening.</t>
        </is>
      </c>
      <c r="H31" s="21" t="inlineStr">
        <is>
          <t>docs/ASVS_EVIDENCE.md; ghostreport/src/main/java/com/ghostreport/domain; ghostreport/src/test/java/com/ghostreport/domain</t>
        </is>
      </c>
    </row>
    <row r="32" ht="30" customHeight="1" s="35">
      <c r="A32" s="14" t="inlineStr">
        <is>
          <t>V1.4</t>
        </is>
      </c>
      <c r="B32" s="14" t="inlineStr">
        <is>
          <t>Memory, String, and Unmanaged Code</t>
        </is>
      </c>
      <c r="C32" s="15" t="inlineStr">
        <is>
          <t>V1.4.3</t>
        </is>
      </c>
      <c r="D32" s="16" t="inlineStr">
        <is>
          <t>Verify that dynamically allocated memory and resources are released, and that references or pointers to freed memory are removed or set to null to prevent dangling pointers and use-after-free vulnerabilities.</t>
        </is>
      </c>
      <c r="E32" s="17" t="n">
        <v>2</v>
      </c>
      <c r="F32" s="39" t="inlineStr">
        <is>
          <t>Partially Compliant</t>
        </is>
      </c>
      <c r="G32" s="16" t="inlineStr">
        <is>
          <t>Backend uses DTO validation, domain primitives and JPA parameter binding; frontend output encoding/CSP still needs hardening.</t>
        </is>
      </c>
      <c r="H32" s="16" t="inlineStr">
        <is>
          <t>docs/ASVS_EVIDENCE.md; ghostreport/src/main/java/com/ghostreport/domain; ghostreport/src/test/java/com/ghostreport/domain</t>
        </is>
      </c>
    </row>
    <row r="33" ht="18" customHeight="1" s="35">
      <c r="A33" s="13" t="inlineStr">
        <is>
          <t>V1.5</t>
        </is>
      </c>
      <c r="B33" s="13" t="inlineStr">
        <is>
          <t>Safe Deserialization</t>
        </is>
      </c>
      <c r="C33" s="13" t="n"/>
      <c r="D33" s="13" t="n"/>
      <c r="E33" s="13" t="n"/>
      <c r="F33" s="13" t="n"/>
      <c r="G33" s="13" t="n"/>
      <c r="H33" s="13" t="n"/>
    </row>
    <row r="34" ht="60" customHeight="1" s="35">
      <c r="A34" s="14" t="inlineStr">
        <is>
          <t>V1.5</t>
        </is>
      </c>
      <c r="B34" s="14" t="inlineStr">
        <is>
          <t>Safe Deserialization</t>
        </is>
      </c>
      <c r="C34" s="15" t="inlineStr">
        <is>
          <t>V1.5.1</t>
        </is>
      </c>
      <c r="D34" s="16" t="inlineStr">
        <is>
          <t>Verify that the application configures XML parsers to use a restrictive configuration and that unsafe features such as resolving external entities are disabled to prevent XML eXternal Entity (XXE) attacks.</t>
        </is>
      </c>
      <c r="E34" s="22" t="n">
        <v>1</v>
      </c>
      <c r="F34" s="39" t="inlineStr">
        <is>
          <t>Partially Compliant</t>
        </is>
      </c>
      <c r="G34" s="16" t="inlineStr">
        <is>
          <t>Backend uses DTO validation, domain primitives and JPA parameter binding; frontend output encoding/CSP still needs hardening.</t>
        </is>
      </c>
      <c r="H34" s="16" t="inlineStr">
        <is>
          <t>docs/ASVS_EVIDENCE.md; ghostreport/src/main/java/com/ghostreport/domain; ghostreport/src/test/java/com/ghostreport/domain</t>
        </is>
      </c>
    </row>
    <row r="35" ht="75" customHeight="1" s="35">
      <c r="A35" s="19" t="inlineStr">
        <is>
          <t>V1.5</t>
        </is>
      </c>
      <c r="B35" s="19" t="inlineStr">
        <is>
          <t>Safe Deserialization</t>
        </is>
      </c>
      <c r="C35" s="20" t="inlineStr">
        <is>
          <t>V1.5.2</t>
        </is>
      </c>
      <c r="D35" s="21"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17" t="n">
        <v>2</v>
      </c>
      <c r="F35" s="39" t="inlineStr">
        <is>
          <t>Partially Compliant</t>
        </is>
      </c>
      <c r="G35" s="21" t="inlineStr">
        <is>
          <t>Backend uses DTO validation, domain primitives and JPA parameter binding; frontend output encoding/CSP still needs hardening.</t>
        </is>
      </c>
      <c r="H35" s="21" t="inlineStr">
        <is>
          <t>docs/ASVS_EVIDENCE.md; ghostreport/src/main/java/com/ghostreport/domain; ghostreport/src/test/java/com/ghostreport/domain</t>
        </is>
      </c>
    </row>
    <row r="36" ht="105" customHeight="1" s="35">
      <c r="A36" s="14" t="inlineStr">
        <is>
          <t>V1.5</t>
        </is>
      </c>
      <c r="B36" s="14" t="inlineStr">
        <is>
          <t>Safe Deserialization</t>
        </is>
      </c>
      <c r="C36" s="15" t="inlineStr">
        <is>
          <t>V1.5.3</t>
        </is>
      </c>
      <c r="D36" s="16"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23" t="n">
        <v>3</v>
      </c>
      <c r="F36" s="39" t="inlineStr">
        <is>
          <t>Partially Compliant</t>
        </is>
      </c>
      <c r="G36" s="16" t="inlineStr">
        <is>
          <t>Backend uses DTO validation, domain primitives and JPA parameter binding; frontend output encoding/CSP still needs hardening.</t>
        </is>
      </c>
      <c r="H36" s="16" t="inlineStr">
        <is>
          <t>docs/ASVS_EVIDENCE.md; ghostreport/src/main/java/com/ghostreport/domain; ghostreport/src/test/java/com/ghostreport/domain</t>
        </is>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6" showDropDown="0" showInputMessage="0" showErrorMessage="0" allowBlank="1" type="list">
      <formula1>"Not Started,In Progress,Compliant,Not Applicable"</formula1>
      <formula2>0</formula2>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H18"/>
  <sheetViews>
    <sheetView zoomScale="80" zoomScaleNormal="80" workbookViewId="0">
      <selection activeCell="G24" sqref="G24"/>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V2.1</t>
        </is>
      </c>
      <c r="B2" s="13" t="inlineStr">
        <is>
          <t>Validation and Business Logic Documentation</t>
        </is>
      </c>
      <c r="C2" s="13" t="n"/>
      <c r="D2" s="13" t="n"/>
      <c r="E2" s="13" t="n"/>
      <c r="F2" s="13" t="n"/>
      <c r="G2" s="13" t="n"/>
      <c r="H2" s="13" t="n"/>
    </row>
    <row r="3" ht="75" customHeight="1" s="35">
      <c r="A3" s="14" t="inlineStr">
        <is>
          <t>V2.1</t>
        </is>
      </c>
      <c r="B3" s="14" t="inlineStr">
        <is>
          <t>Validation and Business Logic Documentation</t>
        </is>
      </c>
      <c r="C3" s="15" t="inlineStr">
        <is>
          <t>V2.1.1</t>
        </is>
      </c>
      <c r="D3" s="16"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22" t="n">
        <v>1</v>
      </c>
      <c r="F3" s="39" t="inlineStr">
        <is>
          <t>Partially Compliant</t>
        </is>
      </c>
      <c r="G3" s="16" t="inlineStr">
        <is>
          <t>Validation is enforced in DTOs/domain/services and security tests cover key flows; full business-limit documentation remains incomplete.</t>
        </is>
      </c>
      <c r="H3" s="16" t="inlineStr">
        <is>
          <t>docs/ASVS_EVIDENCE.md; ghostreport/src/main/java/com/ghostreport/dto; ghostreport/src/test/java/com/ghostreport/security</t>
        </is>
      </c>
    </row>
    <row r="4" ht="90.75" customHeight="1" s="35">
      <c r="A4" s="19" t="inlineStr">
        <is>
          <t>V2.1</t>
        </is>
      </c>
      <c r="B4" s="19" t="inlineStr">
        <is>
          <t>Validation and Business Logic Documentation</t>
        </is>
      </c>
      <c r="C4" s="20" t="inlineStr">
        <is>
          <t>V2.1.2</t>
        </is>
      </c>
      <c r="D4" s="21" t="inlineStr">
        <is>
          <t>Verify that the application's documentation defines how to validate the logical and contextual consistency of combined data items, such as checking that suburb and ZIP code match.</t>
        </is>
      </c>
      <c r="E4" s="17" t="n">
        <v>2</v>
      </c>
      <c r="F4" s="39" t="inlineStr">
        <is>
          <t>Partially Compliant</t>
        </is>
      </c>
      <c r="G4" s="21" t="inlineStr">
        <is>
          <t>Validation is enforced in DTOs/domain/services and security tests cover key flows; full business-limit documentation remains incomplete.</t>
        </is>
      </c>
      <c r="H4" s="21" t="inlineStr">
        <is>
          <t>docs/ASVS_EVIDENCE.md; ghostreport/src/main/java/com/ghostreport/dto; ghostreport/src/test/java/com/ghostreport/security</t>
        </is>
      </c>
    </row>
    <row r="5" ht="60" customHeight="1" s="35">
      <c r="A5" s="14" t="inlineStr">
        <is>
          <t>V2.1</t>
        </is>
      </c>
      <c r="B5" s="14" t="inlineStr">
        <is>
          <t>Validation and Business Logic Documentation</t>
        </is>
      </c>
      <c r="C5" s="15" t="inlineStr">
        <is>
          <t>V2.1.3</t>
        </is>
      </c>
      <c r="D5" s="16" t="inlineStr">
        <is>
          <t>Verify that expectations for business logic limits and validations are documented, including both per-user and globally across the application.</t>
        </is>
      </c>
      <c r="E5" s="17" t="n">
        <v>2</v>
      </c>
      <c r="F5" s="39" t="inlineStr">
        <is>
          <t>Partially Compliant</t>
        </is>
      </c>
      <c r="G5" s="16" t="inlineStr">
        <is>
          <t>Validation is enforced in DTOs/domain/services and security tests cover key flows; full business-limit documentation remains incomplete.</t>
        </is>
      </c>
      <c r="H5" s="16" t="inlineStr">
        <is>
          <t>docs/ASVS_EVIDENCE.md; ghostreport/src/main/java/com/ghostreport/dto; ghostreport/src/test/java/com/ghostreport/security</t>
        </is>
      </c>
    </row>
    <row r="6" ht="18" customHeight="1" s="35">
      <c r="A6" s="13" t="inlineStr">
        <is>
          <t>V2.2</t>
        </is>
      </c>
      <c r="B6" s="13" t="inlineStr">
        <is>
          <t>Input Validation</t>
        </is>
      </c>
      <c r="C6" s="13" t="n"/>
      <c r="D6" s="13" t="n"/>
      <c r="E6" s="13" t="n"/>
      <c r="F6" s="13" t="n"/>
      <c r="G6" s="13" t="n"/>
      <c r="H6" s="13" t="n"/>
    </row>
    <row r="7" ht="105" customHeight="1" s="35">
      <c r="A7" s="14" t="inlineStr">
        <is>
          <t>V2.2</t>
        </is>
      </c>
      <c r="B7" s="14" t="inlineStr">
        <is>
          <t>Input Validation</t>
        </is>
      </c>
      <c r="C7" s="15" t="inlineStr">
        <is>
          <t>V2.2.1</t>
        </is>
      </c>
      <c r="D7" s="16"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22" t="n">
        <v>1</v>
      </c>
      <c r="F7" s="39" t="inlineStr">
        <is>
          <t>Partially Compliant</t>
        </is>
      </c>
      <c r="G7" s="16" t="inlineStr">
        <is>
          <t>Validation is enforced in DTOs/domain/services and security tests cover key flows; full business-limit documentation remains incomplete.</t>
        </is>
      </c>
      <c r="H7" s="16" t="inlineStr">
        <is>
          <t>docs/ASVS_EVIDENCE.md; ghostreport/src/main/java/com/ghostreport/dto; ghostreport/src/test/java/com/ghostreport/security</t>
        </is>
      </c>
    </row>
    <row r="8" ht="60" customHeight="1" s="35">
      <c r="A8" s="19" t="inlineStr">
        <is>
          <t>V2.2</t>
        </is>
      </c>
      <c r="B8" s="19" t="inlineStr">
        <is>
          <t>Input Validation</t>
        </is>
      </c>
      <c r="C8" s="20" t="inlineStr">
        <is>
          <t>V2.2.2</t>
        </is>
      </c>
      <c r="D8" s="21" t="inlineStr">
        <is>
          <t>Verify that the application is designed to enforce input validation at a trusted service layer. While client-side validation improves usability and should be encouraged, it must not be relied upon as a security control.</t>
        </is>
      </c>
      <c r="E8" s="22" t="n">
        <v>1</v>
      </c>
      <c r="F8" s="40" t="inlineStr">
        <is>
          <t>Compliant</t>
        </is>
      </c>
      <c r="G8" s="21" t="inlineStr">
        <is>
          <t>Trusted backend validation exists in DTO/domain/service tests; client validation is not relied upon for security.</t>
        </is>
      </c>
      <c r="H8" s="21" t="inlineStr">
        <is>
          <t>ghostreport/src/main/java/com/ghostreport/dto; ghostreport/src/test/java/com/ghostreport/domain</t>
        </is>
      </c>
    </row>
    <row r="9" ht="90" customHeight="1" s="35">
      <c r="A9" s="14" t="inlineStr">
        <is>
          <t>V2.2</t>
        </is>
      </c>
      <c r="B9" s="14" t="inlineStr">
        <is>
          <t>Input Validation</t>
        </is>
      </c>
      <c r="C9" s="15" t="inlineStr">
        <is>
          <t>V2.2.3</t>
        </is>
      </c>
      <c r="D9" s="16" t="inlineStr">
        <is>
          <t>Verify that the application ensures that combinations of related data items are reasonable according to the pre-defined rules.</t>
        </is>
      </c>
      <c r="E9" s="17" t="n">
        <v>2</v>
      </c>
      <c r="F9" s="39" t="inlineStr">
        <is>
          <t>Partially Compliant</t>
        </is>
      </c>
      <c r="G9" s="16" t="inlineStr">
        <is>
          <t>Validation is enforced in DTOs/domain/services and security tests cover key flows; full business-limit documentation remains incomplete.</t>
        </is>
      </c>
      <c r="H9" s="16" t="inlineStr">
        <is>
          <t>docs/ASVS_EVIDENCE.md; ghostreport/src/main/java/com/ghostreport/dto; ghostreport/src/test/java/com/ghostreport/security</t>
        </is>
      </c>
    </row>
    <row r="10" ht="18" customHeight="1" s="35">
      <c r="A10" s="13" t="inlineStr">
        <is>
          <t>V2.3</t>
        </is>
      </c>
      <c r="B10" s="13" t="inlineStr">
        <is>
          <t>Business Logic Security</t>
        </is>
      </c>
      <c r="C10" s="13" t="n"/>
      <c r="D10" s="13" t="n"/>
      <c r="E10" s="13" t="n"/>
      <c r="F10" s="13" t="n"/>
      <c r="G10" s="13" t="n"/>
      <c r="H10" s="13" t="n"/>
    </row>
    <row r="11" ht="105" customHeight="1" s="35">
      <c r="A11" s="14" t="inlineStr">
        <is>
          <t>V2.3</t>
        </is>
      </c>
      <c r="B11" s="14" t="inlineStr">
        <is>
          <t>Business Logic Security</t>
        </is>
      </c>
      <c r="C11" s="15" t="inlineStr">
        <is>
          <t>V2.3.1</t>
        </is>
      </c>
      <c r="D11" s="16" t="inlineStr">
        <is>
          <t>Verify that the application will only process business logic flows for the same user in the expected sequential step order and without skipping steps.</t>
        </is>
      </c>
      <c r="E11" s="22" t="n">
        <v>1</v>
      </c>
      <c r="F11" s="39" t="inlineStr">
        <is>
          <t>Partially Compliant</t>
        </is>
      </c>
      <c r="G11" s="16" t="inlineStr">
        <is>
          <t>Validation is enforced in DTOs/domain/services and security tests cover key flows; full business-limit documentation remains incomplete.</t>
        </is>
      </c>
      <c r="H11" s="16" t="inlineStr">
        <is>
          <t>docs/ASVS_EVIDENCE.md; ghostreport/src/main/java/com/ghostreport/dto; ghostreport/src/test/java/com/ghostreport/security</t>
        </is>
      </c>
    </row>
    <row r="12" ht="105" customHeight="1" s="35">
      <c r="A12" s="19" t="inlineStr">
        <is>
          <t>V2.3</t>
        </is>
      </c>
      <c r="B12" s="19" t="inlineStr">
        <is>
          <t>Business Logic Security</t>
        </is>
      </c>
      <c r="C12" s="20" t="inlineStr">
        <is>
          <t>V2.3.2</t>
        </is>
      </c>
      <c r="D12" s="21" t="inlineStr">
        <is>
          <t>Verify that business logic limits are implemented per the application's documentation to avoid business logic flaws being exploited.</t>
        </is>
      </c>
      <c r="E12" s="17" t="n">
        <v>2</v>
      </c>
      <c r="F12" s="39" t="inlineStr">
        <is>
          <t>Partially Compliant</t>
        </is>
      </c>
      <c r="G12" s="21" t="inlineStr">
        <is>
          <t>Validation is enforced in DTOs/domain/services and security tests cover key flows; full business-limit documentation remains incomplete.</t>
        </is>
      </c>
      <c r="H12" s="21" t="inlineStr">
        <is>
          <t>docs/ASVS_EVIDENCE.md; ghostreport/src/main/java/com/ghostreport/dto; ghostreport/src/test/java/com/ghostreport/security</t>
        </is>
      </c>
    </row>
    <row r="13" ht="75" customHeight="1" s="35">
      <c r="A13" s="14" t="inlineStr">
        <is>
          <t>V2.3</t>
        </is>
      </c>
      <c r="B13" s="14" t="inlineStr">
        <is>
          <t>Business Logic Security</t>
        </is>
      </c>
      <c r="C13" s="15" t="inlineStr">
        <is>
          <t>V2.3.3</t>
        </is>
      </c>
      <c r="D13" s="16" t="inlineStr">
        <is>
          <t>Verify that transactions are being used at the business logic level such that either a business logic operation succeeds in its entirety or it is rolled back to the previous correct state.</t>
        </is>
      </c>
      <c r="E13" s="17" t="n">
        <v>2</v>
      </c>
      <c r="F13" s="39" t="inlineStr">
        <is>
          <t>Partially Compliant</t>
        </is>
      </c>
      <c r="G13" s="16" t="inlineStr">
        <is>
          <t>Validation is enforced in DTOs/domain/services and security tests cover key flows; full business-limit documentation remains incomplete.</t>
        </is>
      </c>
      <c r="H13" s="16" t="inlineStr">
        <is>
          <t>docs/ASVS_EVIDENCE.md; ghostreport/src/main/java/com/ghostreport/dto; ghostreport/src/test/java/com/ghostreport/security</t>
        </is>
      </c>
    </row>
    <row r="14" ht="60" customHeight="1" s="35">
      <c r="A14" s="19" t="inlineStr">
        <is>
          <t>V2.3</t>
        </is>
      </c>
      <c r="B14" s="19" t="inlineStr">
        <is>
          <t>Business Logic Security</t>
        </is>
      </c>
      <c r="C14" s="20" t="inlineStr">
        <is>
          <t>V2.3.4</t>
        </is>
      </c>
      <c r="D14" s="21" t="inlineStr">
        <is>
          <t>Verify that business logic level locking mechanisms are used to ensure that limited quantity resources (such as theater seats or delivery slots) cannot be double-booked by manipulating the application's logic.</t>
        </is>
      </c>
      <c r="E14" s="17" t="n">
        <v>2</v>
      </c>
      <c r="F14" s="39" t="inlineStr">
        <is>
          <t>Partially Compliant</t>
        </is>
      </c>
      <c r="G14" s="21" t="inlineStr">
        <is>
          <t>Validation is enforced in DTOs/domain/services and security tests cover key flows; full business-limit documentation remains incomplete.</t>
        </is>
      </c>
      <c r="H14" s="21" t="inlineStr">
        <is>
          <t>docs/ASVS_EVIDENCE.md; ghostreport/src/main/java/com/ghostreport/dto; ghostreport/src/test/java/com/ghostreport/security</t>
        </is>
      </c>
    </row>
    <row r="15" ht="90" customHeight="1" s="35">
      <c r="A15" s="14" t="inlineStr">
        <is>
          <t>V2.3</t>
        </is>
      </c>
      <c r="B15" s="14" t="inlineStr">
        <is>
          <t>Business Logic Security</t>
        </is>
      </c>
      <c r="C15" s="15" t="inlineStr">
        <is>
          <t>V2.3.5</t>
        </is>
      </c>
      <c r="D15" s="16"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23" t="n">
        <v>3</v>
      </c>
      <c r="F15" s="39" t="inlineStr">
        <is>
          <t>Partially Compliant</t>
        </is>
      </c>
      <c r="G15" s="16" t="inlineStr">
        <is>
          <t>Validation is enforced in DTOs/domain/services and security tests cover key flows; full business-limit documentation remains incomplete.</t>
        </is>
      </c>
      <c r="H15" s="16" t="inlineStr">
        <is>
          <t>docs/ASVS_EVIDENCE.md; ghostreport/src/main/java/com/ghostreport/dto; ghostreport/src/test/java/com/ghostreport/security</t>
        </is>
      </c>
    </row>
    <row r="16" ht="18" customHeight="1" s="35">
      <c r="A16" s="13" t="inlineStr">
        <is>
          <t>V2.4</t>
        </is>
      </c>
      <c r="B16" s="13" t="inlineStr">
        <is>
          <t>Anti-automation</t>
        </is>
      </c>
      <c r="C16" s="13" t="n"/>
      <c r="D16" s="13" t="n"/>
      <c r="E16" s="13" t="n"/>
      <c r="F16" s="13" t="n"/>
      <c r="G16" s="13" t="n"/>
      <c r="H16" s="13" t="n"/>
    </row>
    <row r="17" ht="60" customHeight="1" s="35">
      <c r="A17" s="14" t="inlineStr">
        <is>
          <t>V2.4</t>
        </is>
      </c>
      <c r="B17" s="14" t="inlineStr">
        <is>
          <t>Anti-automation</t>
        </is>
      </c>
      <c r="C17" s="15" t="inlineStr">
        <is>
          <t>V2.4.1</t>
        </is>
      </c>
      <c r="D17" s="16"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17" t="n">
        <v>2</v>
      </c>
      <c r="F17" s="39" t="inlineStr">
        <is>
          <t>Partially Compliant</t>
        </is>
      </c>
      <c r="G17" s="16" t="inlineStr">
        <is>
          <t>Validation is enforced in DTOs/domain/services and security tests cover key flows; full business-limit documentation remains incomplete.</t>
        </is>
      </c>
      <c r="H17" s="16" t="inlineStr">
        <is>
          <t>docs/ASVS_EVIDENCE.md; ghostreport/src/main/java/com/ghostreport/dto; ghostreport/src/test/java/com/ghostreport/security</t>
        </is>
      </c>
    </row>
    <row r="18" ht="45" customHeight="1" s="35">
      <c r="A18" s="19" t="inlineStr">
        <is>
          <t>V2.4</t>
        </is>
      </c>
      <c r="B18" s="19" t="inlineStr">
        <is>
          <t>Anti-automation</t>
        </is>
      </c>
      <c r="C18" s="20" t="inlineStr">
        <is>
          <t>V2.4.2</t>
        </is>
      </c>
      <c r="D18" s="21" t="inlineStr">
        <is>
          <t>Verify that business logic flows require realistic human timing, preventing excessively rapid transaction submissions.</t>
        </is>
      </c>
      <c r="E18" s="23" t="n">
        <v>3</v>
      </c>
      <c r="F18" s="39" t="inlineStr">
        <is>
          <t>Partially Compliant</t>
        </is>
      </c>
      <c r="G18" s="21" t="inlineStr">
        <is>
          <t>Validation is enforced in DTOs/domain/services and security tests cover key flows; full business-limit documentation remains incomplete.</t>
        </is>
      </c>
      <c r="H18" s="21" t="inlineStr">
        <is>
          <t>docs/ASVS_EVIDENCE.md; ghostreport/src/main/java/com/ghostreport/dto; ghostreport/src/test/java/com/ghostreport/security</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5.xml><?xml version="1.0" encoding="utf-8"?>
<worksheet xmlns="http://schemas.openxmlformats.org/spreadsheetml/2006/main">
  <sheetPr>
    <tabColor rgb="FFFFFF00"/>
    <outlinePr summaryBelow="1" summaryRight="1"/>
    <pageSetUpPr/>
  </sheetPr>
  <dimension ref="A1:T39"/>
  <sheetViews>
    <sheetView topLeftCell="A24" zoomScale="80" zoomScaleNormal="80" workbookViewId="0">
      <selection activeCell="H39" sqref="H39"/>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V3.1</t>
        </is>
      </c>
      <c r="B2" s="13" t="inlineStr">
        <is>
          <t>Web Frontend Security Documentation</t>
        </is>
      </c>
      <c r="C2" s="13" t="n"/>
      <c r="D2" s="13" t="n"/>
      <c r="E2" s="13" t="n"/>
      <c r="F2" s="13" t="n"/>
      <c r="G2" s="13" t="n"/>
      <c r="H2" s="13" t="n"/>
    </row>
    <row r="3" ht="105" customHeight="1" s="35">
      <c r="A3" s="14" t="inlineStr">
        <is>
          <t>V3.1</t>
        </is>
      </c>
      <c r="B3" s="14" t="inlineStr">
        <is>
          <t>Web Frontend Security Documentation</t>
        </is>
      </c>
      <c r="C3" s="15" t="inlineStr">
        <is>
          <t>V3.1.1</t>
        </is>
      </c>
      <c r="D3" s="16"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23" t="n">
        <v>3</v>
      </c>
      <c r="F3" s="39" t="inlineStr">
        <is>
          <t>Partially Compliant</t>
        </is>
      </c>
      <c r="G3" s="16" t="inlineStr">
        <is>
          <t>Security headers and CSP baseline exist, but ZAP reports unsafe-inline in script-src/style-src until inline frontend code is removed.</t>
        </is>
      </c>
      <c r="H3" s="16" t="inlineStr">
        <is>
          <t>ghostreport/src/main/java/com/ghostreport/security/SecurityConfig.java; Deliverables/Phase 2/Evidence/dast/dast-zap-baseline-json/zap-baseline.json</t>
        </is>
      </c>
    </row>
    <row r="4" ht="18" customHeight="1" s="35">
      <c r="A4" s="13" t="inlineStr">
        <is>
          <t>V3.2</t>
        </is>
      </c>
      <c r="B4" s="13" t="inlineStr">
        <is>
          <t>Unintended Content Interpretation</t>
        </is>
      </c>
      <c r="C4" s="13" t="n"/>
      <c r="D4" s="13" t="n"/>
      <c r="E4" s="13" t="n"/>
      <c r="F4" s="13" t="n"/>
      <c r="G4" s="13" t="n"/>
      <c r="H4" s="13" t="n"/>
    </row>
    <row r="5" ht="135" customHeight="1" s="35">
      <c r="A5" s="14" t="inlineStr">
        <is>
          <t>V3.2</t>
        </is>
      </c>
      <c r="B5" s="14" t="inlineStr">
        <is>
          <t>Unintended Content Interpretation</t>
        </is>
      </c>
      <c r="C5" s="15" t="inlineStr">
        <is>
          <t>V3.2.1</t>
        </is>
      </c>
      <c r="D5" s="16"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22" t="n">
        <v>1</v>
      </c>
      <c r="F5" s="39" t="inlineStr">
        <is>
          <t>Partially Compliant</t>
        </is>
      </c>
      <c r="G5" s="16" t="inlineStr">
        <is>
          <t>Security headers and CSP baseline exist, but ZAP reports unsafe-inline in script-src/style-src until inline frontend code is removed.</t>
        </is>
      </c>
      <c r="H5" s="16" t="inlineStr">
        <is>
          <t>ghostreport/src/main/java/com/ghostreport/security/SecurityConfig.java; Deliverables/Phase 2/Evidence/dast/dast-zap-baseline-json/zap-baseline.json</t>
        </is>
      </c>
    </row>
    <row r="6" ht="30" customHeight="1" s="35">
      <c r="A6" s="19" t="inlineStr">
        <is>
          <t>V3.2</t>
        </is>
      </c>
      <c r="B6" s="19" t="inlineStr">
        <is>
          <t>Unintended Content Interpretation</t>
        </is>
      </c>
      <c r="C6" s="20" t="inlineStr">
        <is>
          <t>V3.2.2</t>
        </is>
      </c>
      <c r="D6" s="21" t="inlineStr">
        <is>
          <t>Verify that content intended to be displayed as text, rather than rendered as HTML, is handled using safe rendering functions (such as createTextNode or textContent) to prevent unintended execution of content such as HTML or JavaScript.</t>
        </is>
      </c>
      <c r="E6" s="22" t="n">
        <v>1</v>
      </c>
      <c r="F6" s="39" t="inlineStr">
        <is>
          <t>Partially Compliant</t>
        </is>
      </c>
      <c r="G6" s="21" t="inlineStr">
        <is>
          <t>Security headers and CSP baseline exist, but ZAP reports unsafe-inline in script-src/style-src until inline frontend code is removed.</t>
        </is>
      </c>
      <c r="H6" s="21" t="inlineStr">
        <is>
          <t>ghostreport/src/main/java/com/ghostreport/security/SecurityConfig.java; Deliverables/Phase 2/Evidence/dast/dast-zap-baseline-json/zap-baseline.json</t>
        </is>
      </c>
    </row>
    <row r="7" ht="30" customHeight="1" s="35">
      <c r="A7" s="14" t="inlineStr">
        <is>
          <t>V3.2</t>
        </is>
      </c>
      <c r="B7" s="14" t="inlineStr">
        <is>
          <t>Unintended Content Interpretation</t>
        </is>
      </c>
      <c r="C7" s="15" t="inlineStr">
        <is>
          <t>V3.2.3</t>
        </is>
      </c>
      <c r="D7" s="16"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23" t="n">
        <v>3</v>
      </c>
      <c r="F7" s="39" t="inlineStr">
        <is>
          <t>Partially Compliant</t>
        </is>
      </c>
      <c r="G7" s="16" t="inlineStr">
        <is>
          <t>Security headers and CSP baseline exist, but ZAP reports unsafe-inline in script-src/style-src until inline frontend code is removed.</t>
        </is>
      </c>
      <c r="H7" s="16" t="inlineStr">
        <is>
          <t>ghostreport/src/main/java/com/ghostreport/security/SecurityConfig.java; Deliverables/Phase 2/Evidence/dast/dast-zap-baseline-json/zap-baseline.json</t>
        </is>
      </c>
    </row>
    <row r="8" ht="18" customHeight="1" s="35">
      <c r="A8" s="13" t="inlineStr">
        <is>
          <t>V3.3</t>
        </is>
      </c>
      <c r="B8" s="13" t="inlineStr">
        <is>
          <t>Cookie Setup</t>
        </is>
      </c>
      <c r="C8" s="13" t="n"/>
      <c r="D8" s="13" t="n"/>
      <c r="E8" s="13" t="n"/>
      <c r="F8" s="13" t="n"/>
      <c r="G8" s="13" t="n"/>
      <c r="H8" s="13" t="n"/>
    </row>
    <row r="9" ht="45" customHeight="1" s="35">
      <c r="A9" s="14" t="inlineStr">
        <is>
          <t>V3.3</t>
        </is>
      </c>
      <c r="B9" s="14" t="inlineStr">
        <is>
          <t>Cookie Setup</t>
        </is>
      </c>
      <c r="C9" s="15" t="inlineStr">
        <is>
          <t>V3.3.1</t>
        </is>
      </c>
      <c r="D9" s="16" t="inlineStr">
        <is>
          <t>Verify that cookies have the 'Secure' attribute set, and if the '\__Host-' prefix is not used for the cookie name, the '__Secure-' prefix must be used for the cookie name.</t>
        </is>
      </c>
      <c r="E9" s="22" t="n">
        <v>1</v>
      </c>
      <c r="F9" s="39" t="inlineStr">
        <is>
          <t>Partially Compliant</t>
        </is>
      </c>
      <c r="G9" s="16" t="inlineStr">
        <is>
          <t>Security headers and CSP baseline exist, but ZAP reports unsafe-inline in script-src/style-src until inline frontend code is removed.</t>
        </is>
      </c>
      <c r="H9" s="16" t="inlineStr">
        <is>
          <t>ghostreport/src/main/java/com/ghostreport/security/SecurityConfig.java; Deliverables/Phase 2/Evidence/dast/dast-zap-baseline-json/zap-baseline.json</t>
        </is>
      </c>
    </row>
    <row r="10" ht="60" customHeight="1" s="35">
      <c r="A10" s="19" t="inlineStr">
        <is>
          <t>V3.3</t>
        </is>
      </c>
      <c r="B10" s="19" t="inlineStr">
        <is>
          <t>Cookie Setup</t>
        </is>
      </c>
      <c r="C10" s="20" t="inlineStr">
        <is>
          <t>V3.3.2</t>
        </is>
      </c>
      <c r="D10" s="21" t="inlineStr">
        <is>
          <t>Verify that each cookie's 'SameSite' attribute value is set according to the purpose of the cookie, to limit exposure to user interface redress attacks and browser-based request forgery attacks, commonly known as cross-site request forgery (CSRF).</t>
        </is>
      </c>
      <c r="E10" s="17" t="n">
        <v>2</v>
      </c>
      <c r="F10" s="39" t="inlineStr">
        <is>
          <t>Partially Compliant</t>
        </is>
      </c>
      <c r="G10" s="21" t="inlineStr">
        <is>
          <t>Security headers and CSP baseline exist, but ZAP reports unsafe-inline in script-src/style-src until inline frontend code is removed.</t>
        </is>
      </c>
      <c r="H10" s="21" t="inlineStr">
        <is>
          <t>ghostreport/src/main/java/com/ghostreport/security/SecurityConfig.java; Deliverables/Phase 2/Evidence/dast/dast-zap-baseline-json/zap-baseline.json</t>
        </is>
      </c>
    </row>
    <row r="11" ht="45" customHeight="1" s="35">
      <c r="A11" s="14" t="inlineStr">
        <is>
          <t>V3.3</t>
        </is>
      </c>
      <c r="B11" s="14" t="inlineStr">
        <is>
          <t>Cookie Setup</t>
        </is>
      </c>
      <c r="C11" s="15" t="inlineStr">
        <is>
          <t>V3.3.3</t>
        </is>
      </c>
      <c r="D11" s="16" t="inlineStr">
        <is>
          <t>Verify that cookies have the '__Host-' prefix for the cookie name unless they are explicitly designed to be shared with other hosts.</t>
        </is>
      </c>
      <c r="E11" s="17" t="n">
        <v>2</v>
      </c>
      <c r="F11" s="39" t="inlineStr">
        <is>
          <t>Partially Compliant</t>
        </is>
      </c>
      <c r="G11" s="16" t="inlineStr">
        <is>
          <t>Security headers and CSP baseline exist, but ZAP reports unsafe-inline in script-src/style-src until inline frontend code is removed.</t>
        </is>
      </c>
      <c r="H11" s="16" t="inlineStr">
        <is>
          <t>ghostreport/src/main/java/com/ghostreport/security/SecurityConfig.java; Deliverables/Phase 2/Evidence/dast/dast-zap-baseline-json/zap-baseline.json</t>
        </is>
      </c>
    </row>
    <row r="12" ht="75" customHeight="1" s="35">
      <c r="A12" s="19" t="inlineStr">
        <is>
          <t>V3.3</t>
        </is>
      </c>
      <c r="B12" s="19" t="inlineStr">
        <is>
          <t>Cookie Setup</t>
        </is>
      </c>
      <c r="C12" s="20" t="inlineStr">
        <is>
          <t>V3.3.4</t>
        </is>
      </c>
      <c r="D12" s="21"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17" t="n">
        <v>2</v>
      </c>
      <c r="F12" s="39" t="inlineStr">
        <is>
          <t>Partially Compliant</t>
        </is>
      </c>
      <c r="G12" s="21" t="inlineStr">
        <is>
          <t>Security headers and CSP baseline exist, but ZAP reports unsafe-inline in script-src/style-src until inline frontend code is removed.</t>
        </is>
      </c>
      <c r="H12" s="21" t="inlineStr">
        <is>
          <t>ghostreport/src/main/java/com/ghostreport/security/SecurityConfig.java; Deliverables/Phase 2/Evidence/dast/dast-zap-baseline-json/zap-baseline.json</t>
        </is>
      </c>
    </row>
    <row r="13" ht="75" customHeight="1" s="35">
      <c r="A13" s="14" t="inlineStr">
        <is>
          <t>V3.3</t>
        </is>
      </c>
      <c r="B13" s="14" t="inlineStr">
        <is>
          <t>Cookie Setup</t>
        </is>
      </c>
      <c r="C13" s="15" t="inlineStr">
        <is>
          <t>V3.3.5</t>
        </is>
      </c>
      <c r="D13" s="16"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23" t="n">
        <v>3</v>
      </c>
      <c r="F13" s="39" t="inlineStr">
        <is>
          <t>Partially Compliant</t>
        </is>
      </c>
      <c r="G13" s="16" t="inlineStr">
        <is>
          <t>Security headers and CSP baseline exist, but ZAP reports unsafe-inline in script-src/style-src until inline frontend code is removed.</t>
        </is>
      </c>
      <c r="H13" s="16" t="inlineStr">
        <is>
          <t>ghostreport/src/main/java/com/ghostreport/security/SecurityConfig.java; Deliverables/Phase 2/Evidence/dast/dast-zap-baseline-json/zap-baseline.json</t>
        </is>
      </c>
    </row>
    <row r="14" ht="18" customHeight="1" s="35">
      <c r="A14" s="13" t="inlineStr">
        <is>
          <t>V3.4</t>
        </is>
      </c>
      <c r="B14" s="13" t="inlineStr">
        <is>
          <t>Browser Security Mechanism Headers</t>
        </is>
      </c>
      <c r="C14" s="13" t="n"/>
      <c r="D14" s="13" t="n"/>
      <c r="E14" s="13" t="n"/>
      <c r="F14" s="13" t="n"/>
      <c r="G14" s="13" t="n"/>
      <c r="H14" s="13" t="n"/>
    </row>
    <row r="15" ht="60" customHeight="1" s="35">
      <c r="A15" s="14" t="inlineStr">
        <is>
          <t>V3.4</t>
        </is>
      </c>
      <c r="B15" s="14" t="inlineStr">
        <is>
          <t>Browser Security Mechanism Headers</t>
        </is>
      </c>
      <c r="C15" s="15" t="inlineStr">
        <is>
          <t>V3.4.1</t>
        </is>
      </c>
      <c r="D15" s="16"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22" t="n">
        <v>1</v>
      </c>
      <c r="F15" s="39" t="inlineStr">
        <is>
          <t>Partially Compliant</t>
        </is>
      </c>
      <c r="G15" s="16" t="inlineStr">
        <is>
          <t>Security headers and CSP baseline exist, but ZAP reports unsafe-inline in script-src/style-src until inline frontend code is removed.</t>
        </is>
      </c>
      <c r="H15" s="16" t="inlineStr">
        <is>
          <t>ghostreport/src/main/java/com/ghostreport/security/SecurityConfig.java; Deliverables/Phase 2/Evidence/dast/dast-zap-baseline-json/zap-baseline.json</t>
        </is>
      </c>
    </row>
    <row r="16" ht="90" customHeight="1" s="35">
      <c r="A16" s="19" t="inlineStr">
        <is>
          <t>V3.4</t>
        </is>
      </c>
      <c r="B16" s="19" t="inlineStr">
        <is>
          <t>Browser Security Mechanism Headers</t>
        </is>
      </c>
      <c r="C16" s="20" t="inlineStr">
        <is>
          <t>V3.4.2</t>
        </is>
      </c>
      <c r="D16" s="21"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22" t="n">
        <v>1</v>
      </c>
      <c r="F16" s="39" t="inlineStr">
        <is>
          <t>Partially Compliant</t>
        </is>
      </c>
      <c r="G16" s="21" t="inlineStr">
        <is>
          <t>Security headers and CSP baseline exist, but ZAP reports unsafe-inline in script-src/style-src until inline frontend code is removed.</t>
        </is>
      </c>
      <c r="H16" s="21" t="inlineStr">
        <is>
          <t>ghostreport/src/main/java/com/ghostreport/security/SecurityConfig.java; Deliverables/Phase 2/Evidence/dast/dast-zap-baseline-json/zap-baseline.json</t>
        </is>
      </c>
    </row>
    <row r="17" ht="120" customHeight="1" s="35">
      <c r="A17" s="14" t="inlineStr">
        <is>
          <t>V3.4</t>
        </is>
      </c>
      <c r="B17" s="14" t="inlineStr">
        <is>
          <t>Browser Security Mechanism Headers</t>
        </is>
      </c>
      <c r="C17" s="15" t="inlineStr">
        <is>
          <t>V3.4.3</t>
        </is>
      </c>
      <c r="D17" s="16"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17" t="n">
        <v>2</v>
      </c>
      <c r="F17" s="39" t="inlineStr">
        <is>
          <t>Partially Compliant</t>
        </is>
      </c>
      <c r="G17" s="16" t="inlineStr">
        <is>
          <t>Security headers and CSP baseline exist, but ZAP reports unsafe-inline in script-src/style-src until inline frontend code is removed.</t>
        </is>
      </c>
      <c r="H17" s="16" t="inlineStr">
        <is>
          <t>ghostreport/src/main/java/com/ghostreport/security/SecurityConfig.java; Deliverables/Phase 2/Evidence/dast/dast-zap-baseline-json/zap-baseline.json</t>
        </is>
      </c>
    </row>
    <row r="18" ht="120" customHeight="1" s="35">
      <c r="A18" s="19" t="inlineStr">
        <is>
          <t>V3.4</t>
        </is>
      </c>
      <c r="B18" s="19" t="inlineStr">
        <is>
          <t>Browser Security Mechanism Headers</t>
        </is>
      </c>
      <c r="C18" s="20" t="inlineStr">
        <is>
          <t>V3.4.4</t>
        </is>
      </c>
      <c r="D18" s="21"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17" t="n">
        <v>2</v>
      </c>
      <c r="F18" s="39" t="inlineStr">
        <is>
          <t>Partially Compliant</t>
        </is>
      </c>
      <c r="G18" s="16" t="inlineStr">
        <is>
          <t>Security headers and CSP baseline exist, but ZAP reports unsafe-inline in script-src/style-src until inline frontend code is removed.</t>
        </is>
      </c>
      <c r="H18" s="21" t="inlineStr">
        <is>
          <t>ghostreport/src/main/java/com/ghostreport/security/SecurityConfig.java; Deliverables/Phase 2/Evidence/dast/dast-zap-baseline-json/zap-baseline.json</t>
        </is>
      </c>
    </row>
    <row r="19" ht="105" customHeight="1" s="35">
      <c r="A19" s="14" t="inlineStr">
        <is>
          <t>V3.4</t>
        </is>
      </c>
      <c r="B19" s="14" t="inlineStr">
        <is>
          <t>Browser Security Mechanism Headers</t>
        </is>
      </c>
      <c r="C19" s="15" t="inlineStr">
        <is>
          <t>V3.4.5</t>
        </is>
      </c>
      <c r="D19" s="16"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17" t="n">
        <v>2</v>
      </c>
      <c r="F19" s="39" t="inlineStr">
        <is>
          <t>Partially Compliant</t>
        </is>
      </c>
      <c r="G19" s="16" t="inlineStr">
        <is>
          <t>Security headers and CSP baseline exist, but ZAP reports unsafe-inline in script-src/style-src until inline frontend code is removed.</t>
        </is>
      </c>
      <c r="H19" s="16" t="inlineStr">
        <is>
          <t>ghostreport/src/main/java/com/ghostreport/security/SecurityConfig.java; Deliverables/Phase 2/Evidence/dast/dast-zap-baseline-json/zap-baseline.json</t>
        </is>
      </c>
    </row>
    <row r="20" ht="90" customHeight="1" s="35">
      <c r="A20" s="19" t="inlineStr">
        <is>
          <t>V3.4</t>
        </is>
      </c>
      <c r="B20" s="19" t="inlineStr">
        <is>
          <t>Browser Security Mechanism Headers</t>
        </is>
      </c>
      <c r="C20" s="20" t="inlineStr">
        <is>
          <t>V3.4.6</t>
        </is>
      </c>
      <c r="D20" s="21"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17" t="n">
        <v>2</v>
      </c>
      <c r="F20" s="39" t="inlineStr">
        <is>
          <t>Partially Compliant</t>
        </is>
      </c>
      <c r="G20" s="16" t="inlineStr">
        <is>
          <t>Security headers and CSP baseline exist, but ZAP reports unsafe-inline in script-src/style-src until inline frontend code is removed.</t>
        </is>
      </c>
      <c r="H20" s="21" t="inlineStr">
        <is>
          <t>ghostreport/src/main/java/com/ghostreport/security/SecurityConfig.java; Deliverables/Phase 2/Evidence/dast/dast-zap-baseline-json/zap-baseline.json</t>
        </is>
      </c>
    </row>
    <row r="21" ht="45" customHeight="1" s="35">
      <c r="A21" s="14" t="inlineStr">
        <is>
          <t>V3.4</t>
        </is>
      </c>
      <c r="B21" s="14" t="inlineStr">
        <is>
          <t>Browser Security Mechanism Headers</t>
        </is>
      </c>
      <c r="C21" s="15" t="inlineStr">
        <is>
          <t>V3.4.7</t>
        </is>
      </c>
      <c r="D21" s="16" t="inlineStr">
        <is>
          <t>Verify that the Content-Security-Policy header field specifies a location to report violations.</t>
        </is>
      </c>
      <c r="E21" s="23" t="n">
        <v>3</v>
      </c>
      <c r="F21" s="39" t="inlineStr">
        <is>
          <t>Partially Compliant</t>
        </is>
      </c>
      <c r="G21" s="16" t="inlineStr">
        <is>
          <t>Security headers and CSP baseline exist, but ZAP reports unsafe-inline in script-src/style-src until inline frontend code is removed.</t>
        </is>
      </c>
      <c r="H21" s="16" t="inlineStr">
        <is>
          <t>ghostreport/src/main/java/com/ghostreport/security/SecurityConfig.java; Deliverables/Phase 2/Evidence/dast/dast-zap-baseline-json/zap-baseline.json</t>
        </is>
      </c>
    </row>
    <row r="22" ht="90" customHeight="1" s="35">
      <c r="A22" s="19" t="inlineStr">
        <is>
          <t>V3.4</t>
        </is>
      </c>
      <c r="B22" s="19" t="inlineStr">
        <is>
          <t>Browser Security Mechanism Headers</t>
        </is>
      </c>
      <c r="C22" s="20" t="inlineStr">
        <is>
          <t>V3.4.8</t>
        </is>
      </c>
      <c r="D22" s="21"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23" t="n">
        <v>3</v>
      </c>
      <c r="F22" s="39" t="inlineStr">
        <is>
          <t>Partially Compliant</t>
        </is>
      </c>
      <c r="G22" s="16" t="inlineStr">
        <is>
          <t>Security headers and CSP baseline exist, but ZAP reports unsafe-inline in script-src/style-src until inline frontend code is removed.</t>
        </is>
      </c>
      <c r="H22" s="21" t="inlineStr">
        <is>
          <t>ghostreport/src/main/java/com/ghostreport/security/SecurityConfig.java; Deliverables/Phase 2/Evidence/dast/dast-zap-baseline-json/zap-baseline.json</t>
        </is>
      </c>
    </row>
    <row r="23" ht="18" customHeight="1" s="35">
      <c r="A23" s="13" t="inlineStr">
        <is>
          <t>V3.5</t>
        </is>
      </c>
      <c r="B23" s="13" t="inlineStr">
        <is>
          <t>Browser Origin Separation</t>
        </is>
      </c>
      <c r="C23" s="13" t="n"/>
      <c r="D23" s="13" t="n"/>
      <c r="E23" s="13" t="n"/>
      <c r="F23" s="13" t="n"/>
      <c r="G23" s="13" t="n"/>
      <c r="H23" s="13" t="n"/>
    </row>
    <row r="24" ht="120" customHeight="1" s="35">
      <c r="A24" s="14" t="inlineStr">
        <is>
          <t>V3.5</t>
        </is>
      </c>
      <c r="B24" s="14" t="inlineStr">
        <is>
          <t>Browser Origin Separation</t>
        </is>
      </c>
      <c r="C24" s="15" t="inlineStr">
        <is>
          <t>V3.5.1</t>
        </is>
      </c>
      <c r="D24" s="16"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22" t="n">
        <v>1</v>
      </c>
      <c r="F24" s="39" t="inlineStr">
        <is>
          <t>Partially Compliant</t>
        </is>
      </c>
      <c r="G24" s="16" t="inlineStr">
        <is>
          <t>Security headers and CSP baseline exist, but ZAP reports unsafe-inline in script-src/style-src until inline frontend code is removed.</t>
        </is>
      </c>
      <c r="H24" s="16" t="inlineStr">
        <is>
          <t>ghostreport/src/main/java/com/ghostreport/security/SecurityConfig.java; Deliverables/Phase 2/Evidence/dast/dast-zap-baseline-json/zap-baseline.json</t>
        </is>
      </c>
    </row>
    <row r="25" ht="105" customHeight="1" s="35">
      <c r="A25" s="19" t="inlineStr">
        <is>
          <t>V3.5</t>
        </is>
      </c>
      <c r="B25" s="19" t="inlineStr">
        <is>
          <t>Browser Origin Separation</t>
        </is>
      </c>
      <c r="C25" s="20" t="inlineStr">
        <is>
          <t>V3.5.2</t>
        </is>
      </c>
      <c r="D25" s="21"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22" t="n">
        <v>1</v>
      </c>
      <c r="F25" s="39" t="inlineStr">
        <is>
          <t>Partially Compliant</t>
        </is>
      </c>
      <c r="G25" s="21" t="inlineStr">
        <is>
          <t>Security headers and CSP baseline exist, but ZAP reports unsafe-inline in script-src/style-src until inline frontend code is removed.</t>
        </is>
      </c>
      <c r="H25" s="21" t="inlineStr">
        <is>
          <t>ghostreport/src/main/java/com/ghostreport/security/SecurityConfig.java; Deliverables/Phase 2/Evidence/dast/dast-zap-baseline-json/zap-baseline.json</t>
        </is>
      </c>
    </row>
    <row r="26" ht="120" customHeight="1" s="35">
      <c r="A26" s="14" t="inlineStr">
        <is>
          <t>V3.5</t>
        </is>
      </c>
      <c r="B26" s="14" t="inlineStr">
        <is>
          <t>Browser Origin Separation</t>
        </is>
      </c>
      <c r="C26" s="15" t="inlineStr">
        <is>
          <t>V3.5.3</t>
        </is>
      </c>
      <c r="D26" s="16"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22" t="n">
        <v>1</v>
      </c>
      <c r="F26" s="39" t="inlineStr">
        <is>
          <t>Partially Compliant</t>
        </is>
      </c>
      <c r="G26" s="16" t="inlineStr">
        <is>
          <t>Security headers and CSP baseline exist, but ZAP reports unsafe-inline in script-src/style-src until inline frontend code is removed.</t>
        </is>
      </c>
      <c r="H26" s="16" t="inlineStr">
        <is>
          <t>ghostreport/src/main/java/com/ghostreport/security/SecurityConfig.java; Deliverables/Phase 2/Evidence/dast/dast-zap-baseline-json/zap-baseline.json</t>
        </is>
      </c>
    </row>
    <row r="27" ht="75" customHeight="1" s="35">
      <c r="A27" s="19" t="inlineStr">
        <is>
          <t>V3.5</t>
        </is>
      </c>
      <c r="B27" s="19" t="inlineStr">
        <is>
          <t>Browser Origin Separation</t>
        </is>
      </c>
      <c r="C27" s="20" t="inlineStr">
        <is>
          <t>V3.5.4</t>
        </is>
      </c>
      <c r="D27" s="21"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17" t="n">
        <v>2</v>
      </c>
      <c r="F27" s="39" t="inlineStr">
        <is>
          <t>Partially Compliant</t>
        </is>
      </c>
      <c r="G27" s="21" t="inlineStr">
        <is>
          <t>Security headers and CSP baseline exist, but ZAP reports unsafe-inline in script-src/style-src until inline frontend code is removed.</t>
        </is>
      </c>
      <c r="H27" s="21" t="inlineStr">
        <is>
          <t>ghostreport/src/main/java/com/ghostreport/security/SecurityConfig.java; Deliverables/Phase 2/Evidence/dast/dast-zap-baseline-json/zap-baseline.json</t>
        </is>
      </c>
    </row>
    <row r="28" ht="45" customHeight="1" s="35">
      <c r="A28" s="14" t="inlineStr">
        <is>
          <t>V3.5</t>
        </is>
      </c>
      <c r="B28" s="14" t="inlineStr">
        <is>
          <t>Browser Origin Separation</t>
        </is>
      </c>
      <c r="C28" s="15" t="inlineStr">
        <is>
          <t>V3.5.5</t>
        </is>
      </c>
      <c r="D28" s="16" t="inlineStr">
        <is>
          <t>Verify that messages received by the postMessage interface are discarded if the origin of the message is not trusted, or if the syntax of the message is invalid.</t>
        </is>
      </c>
      <c r="E28" s="17" t="n">
        <v>2</v>
      </c>
      <c r="F28" s="39" t="inlineStr">
        <is>
          <t>Partially Compliant</t>
        </is>
      </c>
      <c r="G28" s="16" t="inlineStr">
        <is>
          <t>Security headers and CSP baseline exist, but ZAP reports unsafe-inline in script-src/style-src until inline frontend code is removed.</t>
        </is>
      </c>
      <c r="H28" s="16" t="inlineStr">
        <is>
          <t>ghostreport/src/main/java/com/ghostreport/security/SecurityConfig.java; Deliverables/Phase 2/Evidence/dast/dast-zap-baseline-json/zap-baseline.json</t>
        </is>
      </c>
      <c r="T28" s="38" t="n"/>
    </row>
    <row r="29" ht="45" customHeight="1" s="35">
      <c r="A29" s="19" t="inlineStr">
        <is>
          <t>V3.5</t>
        </is>
      </c>
      <c r="B29" s="19" t="inlineStr">
        <is>
          <t>Browser Origin Separation</t>
        </is>
      </c>
      <c r="C29" s="20" t="inlineStr">
        <is>
          <t>V3.5.6</t>
        </is>
      </c>
      <c r="D29" s="21" t="inlineStr">
        <is>
          <t>Verify that JSONP functionality is not enabled anywhere across the application to avoid Cross-Site Script Inclusion (XSSI) attacks.</t>
        </is>
      </c>
      <c r="E29" s="23" t="n">
        <v>3</v>
      </c>
      <c r="F29" s="39" t="inlineStr">
        <is>
          <t>Partially Compliant</t>
        </is>
      </c>
      <c r="G29" s="21" t="inlineStr">
        <is>
          <t>Security headers and CSP baseline exist, but ZAP reports unsafe-inline in script-src/style-src until inline frontend code is removed.</t>
        </is>
      </c>
      <c r="H29" s="21" t="inlineStr">
        <is>
          <t>ghostreport/src/main/java/com/ghostreport/security/SecurityConfig.java; Deliverables/Phase 2/Evidence/dast/dast-zap-baseline-json/zap-baseline.json</t>
        </is>
      </c>
    </row>
    <row r="30" ht="45" customHeight="1" s="35">
      <c r="A30" s="14" t="inlineStr">
        <is>
          <t>V3.5</t>
        </is>
      </c>
      <c r="B30" s="14" t="inlineStr">
        <is>
          <t>Browser Origin Separation</t>
        </is>
      </c>
      <c r="C30" s="15" t="inlineStr">
        <is>
          <t>V3.5.7</t>
        </is>
      </c>
      <c r="D30" s="16" t="inlineStr">
        <is>
          <t>Verify that data requiring authorization is not included in script resource responses, like JavaScript files, to prevent Cross-Site Script Inclusion (XSSI) attacks.</t>
        </is>
      </c>
      <c r="E30" s="23" t="n">
        <v>3</v>
      </c>
      <c r="F30" s="39" t="inlineStr">
        <is>
          <t>Partially Compliant</t>
        </is>
      </c>
      <c r="G30" s="16" t="inlineStr">
        <is>
          <t>Security headers and CSP baseline exist, but ZAP reports unsafe-inline in script-src/style-src until inline frontend code is removed.</t>
        </is>
      </c>
      <c r="H30" s="16" t="inlineStr">
        <is>
          <t>ghostreport/src/main/java/com/ghostreport/security/SecurityConfig.java; Deliverables/Phase 2/Evidence/dast/dast-zap-baseline-json/zap-baseline.json</t>
        </is>
      </c>
    </row>
    <row r="31" ht="120" customHeight="1" s="35">
      <c r="A31" s="19" t="inlineStr">
        <is>
          <t>V3.5</t>
        </is>
      </c>
      <c r="B31" s="19" t="inlineStr">
        <is>
          <t>Browser Origin Separation</t>
        </is>
      </c>
      <c r="C31" s="20" t="inlineStr">
        <is>
          <t>V3.5.8</t>
        </is>
      </c>
      <c r="D31" s="21"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23" t="n">
        <v>3</v>
      </c>
      <c r="F31" s="39" t="inlineStr">
        <is>
          <t>Partially Compliant</t>
        </is>
      </c>
      <c r="G31" s="21" t="inlineStr">
        <is>
          <t>Security headers and CSP baseline exist, but ZAP reports unsafe-inline in script-src/style-src until inline frontend code is removed.</t>
        </is>
      </c>
      <c r="H31" s="21" t="inlineStr">
        <is>
          <t>ghostreport/src/main/java/com/ghostreport/security/SecurityConfig.java; Deliverables/Phase 2/Evidence/dast/dast-zap-baseline-json/zap-baseline.json</t>
        </is>
      </c>
    </row>
    <row r="32" ht="18" customHeight="1" s="35">
      <c r="A32" s="13" t="inlineStr">
        <is>
          <t>V3.6</t>
        </is>
      </c>
      <c r="B32" s="13" t="inlineStr">
        <is>
          <t>External Resource Integrity</t>
        </is>
      </c>
      <c r="C32" s="13" t="n"/>
      <c r="D32" s="13" t="n"/>
      <c r="E32" s="13" t="n"/>
      <c r="F32" s="13" t="n"/>
      <c r="G32" s="13" t="n"/>
      <c r="H32" s="13" t="n"/>
    </row>
    <row r="33" ht="90" customHeight="1" s="35">
      <c r="A33" s="14" t="inlineStr">
        <is>
          <t>V3.6</t>
        </is>
      </c>
      <c r="B33" s="14" t="inlineStr">
        <is>
          <t>External Resource Integrity</t>
        </is>
      </c>
      <c r="C33" s="15" t="inlineStr">
        <is>
          <t>V3.6.1</t>
        </is>
      </c>
      <c r="D33" s="16"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23" t="n">
        <v>3</v>
      </c>
      <c r="F33" s="39" t="inlineStr">
        <is>
          <t>Partially Compliant</t>
        </is>
      </c>
      <c r="G33" s="16" t="inlineStr">
        <is>
          <t>Security headers and CSP baseline exist, but ZAP reports unsafe-inline in script-src/style-src until inline frontend code is removed.</t>
        </is>
      </c>
      <c r="H33" s="16" t="inlineStr">
        <is>
          <t>ghostreport/src/main/java/com/ghostreport/security/SecurityConfig.java; Deliverables/Phase 2/Evidence/dast/dast-zap-baseline-json/zap-baseline.json</t>
        </is>
      </c>
    </row>
    <row r="34" ht="18" customHeight="1" s="35">
      <c r="A34" s="13" t="inlineStr">
        <is>
          <t>V3.7</t>
        </is>
      </c>
      <c r="B34" s="13" t="inlineStr">
        <is>
          <t>Other Browser Security Considerations</t>
        </is>
      </c>
      <c r="C34" s="13" t="n"/>
      <c r="D34" s="13" t="n"/>
      <c r="E34" s="13" t="n"/>
      <c r="F34" s="13" t="n"/>
      <c r="G34" s="13" t="n"/>
      <c r="H34" s="13" t="n"/>
    </row>
    <row r="35" ht="75" customHeight="1" s="35">
      <c r="A35" s="14" t="inlineStr">
        <is>
          <t>V3.7</t>
        </is>
      </c>
      <c r="B35" s="14" t="inlineStr">
        <is>
          <t>Other Browser Security Considerations</t>
        </is>
      </c>
      <c r="C35" s="15" t="inlineStr">
        <is>
          <t>V3.7.1</t>
        </is>
      </c>
      <c r="D35" s="16"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17" t="n">
        <v>2</v>
      </c>
      <c r="F35" s="39" t="inlineStr">
        <is>
          <t>Partially Compliant</t>
        </is>
      </c>
      <c r="G35" s="16" t="inlineStr">
        <is>
          <t>Security headers and CSP baseline exist, but ZAP reports unsafe-inline in script-src/style-src until inline frontend code is removed.</t>
        </is>
      </c>
      <c r="H35" s="16" t="inlineStr">
        <is>
          <t>ghostreport/src/main/java/com/ghostreport/security/SecurityConfig.java; Deliverables/Phase 2/Evidence/dast/dast-zap-baseline-json/zap-baseline.json</t>
        </is>
      </c>
    </row>
    <row r="36" ht="60" customHeight="1" s="35">
      <c r="A36" s="19" t="inlineStr">
        <is>
          <t>V3.7</t>
        </is>
      </c>
      <c r="B36" s="19" t="inlineStr">
        <is>
          <t>Other Browser Security Considerations</t>
        </is>
      </c>
      <c r="C36" s="20" t="inlineStr">
        <is>
          <t>V3.7.2</t>
        </is>
      </c>
      <c r="D36" s="21" t="inlineStr">
        <is>
          <t>Verify that the application will only automatically redirect the user to a different hostname or domain (which is not controlled by the application) where the destination appears on an allowlist.</t>
        </is>
      </c>
      <c r="E36" s="17" t="n">
        <v>2</v>
      </c>
      <c r="F36" s="39" t="inlineStr">
        <is>
          <t>Partially Compliant</t>
        </is>
      </c>
      <c r="G36" s="21" t="inlineStr">
        <is>
          <t>Security headers and CSP baseline exist, but ZAP reports unsafe-inline in script-src/style-src until inline frontend code is removed.</t>
        </is>
      </c>
      <c r="H36" s="21" t="inlineStr">
        <is>
          <t>ghostreport/src/main/java/com/ghostreport/security/SecurityConfig.java; Deliverables/Phase 2/Evidence/dast/dast-zap-baseline-json/zap-baseline.json</t>
        </is>
      </c>
    </row>
    <row r="37" ht="45" customHeight="1" s="35">
      <c r="A37" s="14" t="inlineStr">
        <is>
          <t>V3.7</t>
        </is>
      </c>
      <c r="B37" s="14" t="inlineStr">
        <is>
          <t>Other Browser Security Considerations</t>
        </is>
      </c>
      <c r="C37" s="15" t="inlineStr">
        <is>
          <t>V3.7.3</t>
        </is>
      </c>
      <c r="D37" s="16" t="inlineStr">
        <is>
          <t>Verify that the application shows a notification when the user is being redirected to a URL outside of the application's control, with an option to cancel the navigation.</t>
        </is>
      </c>
      <c r="E37" s="23" t="n">
        <v>3</v>
      </c>
      <c r="F37" s="39" t="inlineStr">
        <is>
          <t>Partially Compliant</t>
        </is>
      </c>
      <c r="G37" s="16" t="inlineStr">
        <is>
          <t>Security headers and CSP baseline exist, but ZAP reports unsafe-inline in script-src/style-src until inline frontend code is removed.</t>
        </is>
      </c>
      <c r="H37" s="16" t="inlineStr">
        <is>
          <t>ghostreport/src/main/java/com/ghostreport/security/SecurityConfig.java; Deliverables/Phase 2/Evidence/dast/dast-zap-baseline-json/zap-baseline.json</t>
        </is>
      </c>
    </row>
    <row r="38" ht="75" customHeight="1" s="35">
      <c r="A38" s="19" t="inlineStr">
        <is>
          <t>V3.7</t>
        </is>
      </c>
      <c r="B38" s="19" t="inlineStr">
        <is>
          <t>Other Browser Security Considerations</t>
        </is>
      </c>
      <c r="C38" s="20" t="inlineStr">
        <is>
          <t>V3.7.4</t>
        </is>
      </c>
      <c r="D38" s="21"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23" t="n">
        <v>3</v>
      </c>
      <c r="F38" s="39" t="inlineStr">
        <is>
          <t>Partially Compliant</t>
        </is>
      </c>
      <c r="G38" s="21" t="inlineStr">
        <is>
          <t>Security headers and CSP baseline exist, but ZAP reports unsafe-inline in script-src/style-src until inline frontend code is removed.</t>
        </is>
      </c>
      <c r="H38" s="21" t="inlineStr">
        <is>
          <t>ghostreport/src/main/java/com/ghostreport/security/SecurityConfig.java; Deliverables/Phase 2/Evidence/dast/dast-zap-baseline-json/zap-baseline.json</t>
        </is>
      </c>
    </row>
    <row r="39" ht="60" customHeight="1" s="35">
      <c r="A39" s="14" t="inlineStr">
        <is>
          <t>V3.7</t>
        </is>
      </c>
      <c r="B39" s="14" t="inlineStr">
        <is>
          <t>Other Browser Security Considerations</t>
        </is>
      </c>
      <c r="C39" s="15" t="inlineStr">
        <is>
          <t>V3.7.5</t>
        </is>
      </c>
      <c r="D39" s="16" t="inlineStr">
        <is>
          <t>Verify that the application behaves as documented (such as warning the user or blocking access) if the browser used to access the application does not support the expected security features.</t>
        </is>
      </c>
      <c r="E39" s="23" t="n">
        <v>3</v>
      </c>
      <c r="F39" s="39" t="inlineStr">
        <is>
          <t>Partially Compliant</t>
        </is>
      </c>
      <c r="G39" s="16" t="inlineStr">
        <is>
          <t>Security headers and CSP baseline exist, but ZAP reports unsafe-inline in script-src/style-src until inline frontend code is removed.</t>
        </is>
      </c>
      <c r="H39" s="16" t="inlineStr">
        <is>
          <t>ghostreport/src/main/java/com/ghostreport/security/SecurityConfig.java; Deliverables/Phase 2/Evidence/dast/dast-zap-baseline-json/zap-baseline.json</t>
        </is>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9"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1"/>
  <sheetViews>
    <sheetView topLeftCell="A10" zoomScale="70" zoomScaleNormal="70" workbookViewId="0">
      <selection activeCell="H15" sqref="H15"/>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V4.1</t>
        </is>
      </c>
      <c r="B2" s="13" t="inlineStr">
        <is>
          <t>Generic Web Service Security</t>
        </is>
      </c>
      <c r="C2" s="13" t="n"/>
      <c r="D2" s="13" t="n"/>
      <c r="E2" s="13" t="n"/>
      <c r="F2" s="13" t="n"/>
      <c r="G2" s="13" t="n"/>
      <c r="H2" s="13" t="n"/>
    </row>
    <row r="3" ht="90" customHeight="1" s="35">
      <c r="A3" s="14" t="inlineStr">
        <is>
          <t>V4.1</t>
        </is>
      </c>
      <c r="B3" s="14" t="inlineStr">
        <is>
          <t>Generic Web Service Security</t>
        </is>
      </c>
      <c r="C3" s="15" t="inlineStr">
        <is>
          <t>V4.1.1</t>
        </is>
      </c>
      <c r="D3" s="16"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22" t="n">
        <v>1</v>
      </c>
      <c r="F3" s="39" t="inlineStr">
        <is>
          <t>Partially Compliant</t>
        </is>
      </c>
      <c r="G3" s="16" t="inlineStr">
        <is>
          <t>REST API uses DTOs, JSON responses and controlled errors; additional HTTP method/cache/proxy-boundary tests are pending.</t>
        </is>
      </c>
      <c r="H3" s="16" t="inlineStr">
        <is>
          <t>ghostreport/src/main/java/com/ghostreport/controller; ghostreport/src/main/java/com/ghostreport/dto; ghostreport/src/test/java/com/ghostreport/security</t>
        </is>
      </c>
    </row>
    <row r="4" ht="105" customHeight="1" s="35">
      <c r="A4" s="19" t="inlineStr">
        <is>
          <t>V4.1</t>
        </is>
      </c>
      <c r="B4" s="19" t="inlineStr">
        <is>
          <t>Generic Web Service Security</t>
        </is>
      </c>
      <c r="C4" s="20" t="inlineStr">
        <is>
          <t>V4.1.2</t>
        </is>
      </c>
      <c r="D4" s="21"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17" t="n">
        <v>2</v>
      </c>
      <c r="F4" s="39" t="inlineStr">
        <is>
          <t>Partially Compliant</t>
        </is>
      </c>
      <c r="G4" s="21" t="inlineStr">
        <is>
          <t>REST API uses DTOs, JSON responses and controlled errors; additional HTTP method/cache/proxy-boundary tests are pending.</t>
        </is>
      </c>
      <c r="H4" s="21" t="inlineStr">
        <is>
          <t>ghostreport/src/main/java/com/ghostreport/controller; ghostreport/src/main/java/com/ghostreport/dto; ghostreport/src/test/java/com/ghostreport/security</t>
        </is>
      </c>
    </row>
    <row r="5" ht="75" customHeight="1" s="35">
      <c r="A5" s="14" t="inlineStr">
        <is>
          <t>V4.1</t>
        </is>
      </c>
      <c r="B5" s="14" t="inlineStr">
        <is>
          <t>Generic Web Service Security</t>
        </is>
      </c>
      <c r="C5" s="15" t="inlineStr">
        <is>
          <t>V4.1.3</t>
        </is>
      </c>
      <c r="D5" s="16"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17" t="n">
        <v>2</v>
      </c>
      <c r="F5" s="39" t="inlineStr">
        <is>
          <t>Partially Compliant</t>
        </is>
      </c>
      <c r="G5" s="16" t="inlineStr">
        <is>
          <t>REST API uses DTOs, JSON responses and controlled errors; additional HTTP method/cache/proxy-boundary tests are pending.</t>
        </is>
      </c>
      <c r="H5" s="16" t="inlineStr">
        <is>
          <t>ghostreport/src/main/java/com/ghostreport/controller; ghostreport/src/main/java/com/ghostreport/dto; ghostreport/src/test/java/com/ghostreport/security</t>
        </is>
      </c>
    </row>
    <row r="6" ht="75" customHeight="1" s="35">
      <c r="A6" s="19" t="inlineStr">
        <is>
          <t>V4.1</t>
        </is>
      </c>
      <c r="B6" s="19" t="inlineStr">
        <is>
          <t>Generic Web Service Security</t>
        </is>
      </c>
      <c r="C6" s="20" t="inlineStr">
        <is>
          <t>V4.1.4</t>
        </is>
      </c>
      <c r="D6" s="21" t="inlineStr">
        <is>
          <t>Verify that only HTTP methods that are explicitly supported by the application or its API (including OPTIONS during preflight requests) can be used and that unused methods are blocked.</t>
        </is>
      </c>
      <c r="E6" s="23" t="n">
        <v>3</v>
      </c>
      <c r="F6" s="39" t="inlineStr">
        <is>
          <t>Partially Compliant</t>
        </is>
      </c>
      <c r="G6" s="21" t="inlineStr">
        <is>
          <t>REST API uses DTOs, JSON responses and controlled errors; additional HTTP method/cache/proxy-boundary tests are pending.</t>
        </is>
      </c>
      <c r="H6" s="21" t="inlineStr">
        <is>
          <t>ghostreport/src/main/java/com/ghostreport/controller; ghostreport/src/main/java/com/ghostreport/dto; ghostreport/src/test/java/com/ghostreport/security</t>
        </is>
      </c>
    </row>
    <row r="7" ht="60" customHeight="1" s="35">
      <c r="A7" s="14" t="inlineStr">
        <is>
          <t>V4.1</t>
        </is>
      </c>
      <c r="B7" s="14" t="inlineStr">
        <is>
          <t>Generic Web Service Security</t>
        </is>
      </c>
      <c r="C7" s="15" t="inlineStr">
        <is>
          <t>V4.1.5</t>
        </is>
      </c>
      <c r="D7" s="16" t="inlineStr">
        <is>
          <t>Verify that per-message digital signatures are used to provide additional assurance on top of transport protections for requests or transactions which are highly sensitive or which traverse a number of systems.</t>
        </is>
      </c>
      <c r="E7" s="23" t="n">
        <v>3</v>
      </c>
      <c r="F7" s="39" t="inlineStr">
        <is>
          <t>Partially Compliant</t>
        </is>
      </c>
      <c r="G7" s="16" t="inlineStr">
        <is>
          <t>REST API uses DTOs, JSON responses and controlled errors; additional HTTP method/cache/proxy-boundary tests are pending.</t>
        </is>
      </c>
      <c r="H7" s="16" t="inlineStr">
        <is>
          <t>ghostreport/src/main/java/com/ghostreport/controller; ghostreport/src/main/java/com/ghostreport/dto; ghostreport/src/test/java/com/ghostreport/security</t>
        </is>
      </c>
    </row>
    <row r="8" ht="18" customHeight="1" s="35">
      <c r="A8" s="13" t="inlineStr">
        <is>
          <t>V4.2</t>
        </is>
      </c>
      <c r="B8" s="13" t="inlineStr">
        <is>
          <t>HTTP Message Structure Validation</t>
        </is>
      </c>
      <c r="C8" s="13" t="n"/>
      <c r="D8" s="13" t="n"/>
      <c r="E8" s="13" t="n"/>
      <c r="F8" s="13" t="n"/>
      <c r="G8" s="13" t="n"/>
      <c r="H8" s="13" t="n"/>
    </row>
    <row r="9" ht="135" customHeight="1" s="35">
      <c r="A9" s="14" t="inlineStr">
        <is>
          <t>V4.2</t>
        </is>
      </c>
      <c r="B9" s="14" t="inlineStr">
        <is>
          <t>HTTP Message Structure Validation</t>
        </is>
      </c>
      <c r="C9" s="15" t="inlineStr">
        <is>
          <t>V4.2.1</t>
        </is>
      </c>
      <c r="D9" s="16"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17" t="n">
        <v>2</v>
      </c>
      <c r="F9" s="39" t="inlineStr">
        <is>
          <t>Partially Compliant</t>
        </is>
      </c>
      <c r="G9" s="16" t="inlineStr">
        <is>
          <t>REST API uses DTOs, JSON responses and controlled errors; additional HTTP method/cache/proxy-boundary tests are pending.</t>
        </is>
      </c>
      <c r="H9" s="16" t="inlineStr">
        <is>
          <t>ghostreport/src/main/java/com/ghostreport/controller; ghostreport/src/main/java/com/ghostreport/dto; ghostreport/src/test/java/com/ghostreport/security</t>
        </is>
      </c>
    </row>
    <row r="10" ht="75" customHeight="1" s="35">
      <c r="A10" s="19" t="inlineStr">
        <is>
          <t>V4.2</t>
        </is>
      </c>
      <c r="B10" s="19" t="inlineStr">
        <is>
          <t>HTTP Message Structure Validation</t>
        </is>
      </c>
      <c r="C10" s="20" t="inlineStr">
        <is>
          <t>V4.2.2</t>
        </is>
      </c>
      <c r="D10" s="21" t="inlineStr">
        <is>
          <t>Verify that when generating HTTP messages, the Content-Length header field does not conflict with the length of the content as determined by the framing of the HTTP protocol, in order to prevent request smuggling attacks.</t>
        </is>
      </c>
      <c r="E10" s="23" t="n">
        <v>3</v>
      </c>
      <c r="F10" s="39" t="inlineStr">
        <is>
          <t>Partially Compliant</t>
        </is>
      </c>
      <c r="G10" s="16" t="inlineStr">
        <is>
          <t>REST API uses DTOs, JSON responses and controlled errors; additional HTTP method/cache/proxy-boundary tests are pending.</t>
        </is>
      </c>
      <c r="H10" s="21" t="inlineStr">
        <is>
          <t>ghostreport/src/main/java/com/ghostreport/controller; ghostreport/src/main/java/com/ghostreport/dto; ghostreport/src/test/java/com/ghostreport/security</t>
        </is>
      </c>
    </row>
    <row r="11" ht="75" customHeight="1" s="35">
      <c r="A11" s="14" t="inlineStr">
        <is>
          <t>V4.2</t>
        </is>
      </c>
      <c r="B11" s="14" t="inlineStr">
        <is>
          <t>HTTP Message Structure Validation</t>
        </is>
      </c>
      <c r="C11" s="15" t="inlineStr">
        <is>
          <t>V4.2.3</t>
        </is>
      </c>
      <c r="D11" s="16" t="inlineStr">
        <is>
          <t>Verify that the application does not send nor accept HTTP/2 or HTTP/3 messages with connection-specific header fields such as Transfer-Encoding to prevent response splitting and header injection attacks.</t>
        </is>
      </c>
      <c r="E11" s="23" t="n">
        <v>3</v>
      </c>
      <c r="F11" s="39" t="inlineStr">
        <is>
          <t>Partially Compliant</t>
        </is>
      </c>
      <c r="G11" s="16" t="inlineStr">
        <is>
          <t>REST API uses DTOs, JSON responses and controlled errors; additional HTTP method/cache/proxy-boundary tests are pending.</t>
        </is>
      </c>
      <c r="H11" s="16" t="inlineStr">
        <is>
          <t>ghostreport/src/main/java/com/ghostreport/controller; ghostreport/src/main/java/com/ghostreport/dto; ghostreport/src/test/java/com/ghostreport/security</t>
        </is>
      </c>
    </row>
    <row r="12" ht="60" customHeight="1" s="35">
      <c r="A12" s="19" t="inlineStr">
        <is>
          <t>V4.2</t>
        </is>
      </c>
      <c r="B12" s="19" t="inlineStr">
        <is>
          <t>HTTP Message Structure Validation</t>
        </is>
      </c>
      <c r="C12" s="20" t="inlineStr">
        <is>
          <t>V4.2.4</t>
        </is>
      </c>
      <c r="D12" s="21" t="inlineStr">
        <is>
          <t>Verify that the application only accepts HTTP/2 and HTTP/3 requests where the header fields and values do not contain any CR (\r), LF (\n), or CRLF (\r\n) sequences, to prevent header injection attacks.</t>
        </is>
      </c>
      <c r="E12" s="23" t="n">
        <v>3</v>
      </c>
      <c r="F12" s="39" t="inlineStr">
        <is>
          <t>Partially Compliant</t>
        </is>
      </c>
      <c r="G12" s="16" t="inlineStr">
        <is>
          <t>REST API uses DTOs, JSON responses and controlled errors; additional HTTP method/cache/proxy-boundary tests are pending.</t>
        </is>
      </c>
      <c r="H12" s="21" t="inlineStr">
        <is>
          <t>ghostreport/src/main/java/com/ghostreport/controller; ghostreport/src/main/java/com/ghostreport/dto; ghostreport/src/test/java/com/ghostreport/security</t>
        </is>
      </c>
    </row>
    <row r="13" ht="120" customHeight="1" s="35">
      <c r="A13" s="14" t="inlineStr">
        <is>
          <t>V4.2</t>
        </is>
      </c>
      <c r="B13" s="14" t="inlineStr">
        <is>
          <t>HTTP Message Structure Validation</t>
        </is>
      </c>
      <c r="C13" s="15" t="inlineStr">
        <is>
          <t>V4.2.5</t>
        </is>
      </c>
      <c r="D13" s="16"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23" t="n">
        <v>3</v>
      </c>
      <c r="F13" s="39" t="inlineStr">
        <is>
          <t>Partially Compliant</t>
        </is>
      </c>
      <c r="G13" s="16" t="inlineStr">
        <is>
          <t>REST API uses DTOs, JSON responses and controlled errors; additional HTTP method/cache/proxy-boundary tests are pending.</t>
        </is>
      </c>
      <c r="H13" s="16" t="inlineStr">
        <is>
          <t>ghostreport/src/main/java/com/ghostreport/controller; ghostreport/src/main/java/com/ghostreport/dto; ghostreport/src/test/java/com/ghostreport/security</t>
        </is>
      </c>
    </row>
    <row r="14" ht="18" customHeight="1" s="35">
      <c r="A14" s="13" t="inlineStr">
        <is>
          <t>V4.3</t>
        </is>
      </c>
      <c r="B14" s="13" t="inlineStr">
        <is>
          <t>GraphQL</t>
        </is>
      </c>
      <c r="C14" s="13" t="n"/>
      <c r="D14" s="13" t="n"/>
      <c r="E14" s="13" t="n"/>
      <c r="F14" s="13" t="n"/>
      <c r="G14" s="13" t="n"/>
      <c r="H14" s="13" t="n"/>
    </row>
    <row r="15" ht="60" customHeight="1" s="35">
      <c r="A15" s="14" t="inlineStr">
        <is>
          <t>V4.3</t>
        </is>
      </c>
      <c r="B15" s="14" t="inlineStr">
        <is>
          <t>GraphQL</t>
        </is>
      </c>
      <c r="C15" s="15" t="inlineStr">
        <is>
          <t>V4.3.1</t>
        </is>
      </c>
      <c r="D15" s="16" t="inlineStr">
        <is>
          <t>Verify that a query allowlist, depth limiting, amount limiting, or query cost analysis is used to prevent GraphQL or data layer expression Denial of Service (DoS) as a result of expensive, nested queries.</t>
        </is>
      </c>
      <c r="E15" s="17" t="n">
        <v>2</v>
      </c>
      <c r="F15" s="39" t="inlineStr">
        <is>
          <t>Partially Compliant</t>
        </is>
      </c>
      <c r="G15" s="16" t="inlineStr">
        <is>
          <t>REST API uses DTOs, JSON responses and controlled errors; additional HTTP method/cache/proxy-boundary tests are pending.</t>
        </is>
      </c>
      <c r="H15" s="16" t="inlineStr">
        <is>
          <t>ghostreport/src/main/java/com/ghostreport/controller; ghostreport/src/main/java/com/ghostreport/dto; ghostreport/src/test/java/com/ghostreport/security</t>
        </is>
      </c>
    </row>
    <row r="16" ht="45" customHeight="1" s="35">
      <c r="A16" s="19" t="inlineStr">
        <is>
          <t>V4.3</t>
        </is>
      </c>
      <c r="B16" s="19" t="inlineStr">
        <is>
          <t>GraphQL</t>
        </is>
      </c>
      <c r="C16" s="20" t="inlineStr">
        <is>
          <t>V4.3.2</t>
        </is>
      </c>
      <c r="D16" s="21" t="inlineStr">
        <is>
          <t>Verify that GraphQL introspection queries are disabled in the production environment unless the GraphQL API is meant to be used by other parties.</t>
        </is>
      </c>
      <c r="E16" s="17" t="n">
        <v>2</v>
      </c>
      <c r="F16" s="39" t="inlineStr">
        <is>
          <t>Partially Compliant</t>
        </is>
      </c>
      <c r="G16" s="21" t="inlineStr">
        <is>
          <t>REST API uses DTOs, JSON responses and controlled errors; additional HTTP method/cache/proxy-boundary tests are pending.</t>
        </is>
      </c>
      <c r="H16" s="21" t="inlineStr">
        <is>
          <t>ghostreport/src/main/java/com/ghostreport/controller; ghostreport/src/main/java/com/ghostreport/dto; ghostreport/src/test/java/com/ghostreport/security</t>
        </is>
      </c>
    </row>
    <row r="17" ht="18" customHeight="1" s="35">
      <c r="A17" s="13" t="inlineStr">
        <is>
          <t>V4.4</t>
        </is>
      </c>
      <c r="B17" s="13" t="inlineStr">
        <is>
          <t>WebSocket</t>
        </is>
      </c>
      <c r="C17" s="13" t="n"/>
      <c r="D17" s="13" t="n"/>
      <c r="E17" s="13" t="n"/>
      <c r="F17" s="13" t="n"/>
      <c r="G17" s="13" t="n"/>
      <c r="H17" s="13" t="n"/>
    </row>
    <row r="18" ht="30" customHeight="1" s="35">
      <c r="A18" s="14" t="inlineStr">
        <is>
          <t>V4.4</t>
        </is>
      </c>
      <c r="B18" s="14" t="inlineStr">
        <is>
          <t>WebSocket</t>
        </is>
      </c>
      <c r="C18" s="15" t="inlineStr">
        <is>
          <t>V4.4.1</t>
        </is>
      </c>
      <c r="D18" s="16" t="inlineStr">
        <is>
          <t>Verify that WebSocket over TLS (WSS) is used for all WebSocket connections.</t>
        </is>
      </c>
      <c r="E18" s="22" t="n">
        <v>1</v>
      </c>
      <c r="F18" s="39" t="inlineStr">
        <is>
          <t>Partially Compliant</t>
        </is>
      </c>
      <c r="G18" s="16" t="inlineStr">
        <is>
          <t>REST API uses DTOs, JSON responses and controlled errors; additional HTTP method/cache/proxy-boundary tests are pending.</t>
        </is>
      </c>
      <c r="H18" s="16" t="inlineStr">
        <is>
          <t>ghostreport/src/main/java/com/ghostreport/controller; ghostreport/src/main/java/com/ghostreport/dto; ghostreport/src/test/java/com/ghostreport/security</t>
        </is>
      </c>
    </row>
    <row r="19" ht="45" customHeight="1" s="35">
      <c r="A19" s="19" t="inlineStr">
        <is>
          <t>V4.4</t>
        </is>
      </c>
      <c r="B19" s="19" t="inlineStr">
        <is>
          <t>WebSocket</t>
        </is>
      </c>
      <c r="C19" s="20" t="inlineStr">
        <is>
          <t>V4.4.2</t>
        </is>
      </c>
      <c r="D19" s="21" t="inlineStr">
        <is>
          <t>Verify that, during the initial HTTP WebSocket handshake, the Origin header field is checked against a list of origins allowed for the application.</t>
        </is>
      </c>
      <c r="E19" s="17" t="n">
        <v>2</v>
      </c>
      <c r="F19" s="39" t="inlineStr">
        <is>
          <t>Partially Compliant</t>
        </is>
      </c>
      <c r="G19" s="21" t="inlineStr">
        <is>
          <t>REST API uses DTOs, JSON responses and controlled errors; additional HTTP method/cache/proxy-boundary tests are pending.</t>
        </is>
      </c>
      <c r="H19" s="21" t="inlineStr">
        <is>
          <t>ghostreport/src/main/java/com/ghostreport/controller; ghostreport/src/main/java/com/ghostreport/dto; ghostreport/src/test/java/com/ghostreport/security</t>
        </is>
      </c>
    </row>
    <row r="20" ht="60" customHeight="1" s="35">
      <c r="A20" s="14" t="inlineStr">
        <is>
          <t>V4.4</t>
        </is>
      </c>
      <c r="B20" s="14" t="inlineStr">
        <is>
          <t>WebSocket</t>
        </is>
      </c>
      <c r="C20" s="15" t="inlineStr">
        <is>
          <t>V4.4.3</t>
        </is>
      </c>
      <c r="D20" s="16" t="inlineStr">
        <is>
          <t>Verify that, if the application's standard session management cannot be used, dedicated tokens are being used for this, which comply with the relevant Session Management security requirements.</t>
        </is>
      </c>
      <c r="E20" s="17" t="n">
        <v>2</v>
      </c>
      <c r="F20" s="39" t="inlineStr">
        <is>
          <t>Partially Compliant</t>
        </is>
      </c>
      <c r="G20" s="16" t="inlineStr">
        <is>
          <t>REST API uses DTOs, JSON responses and controlled errors; additional HTTP method/cache/proxy-boundary tests are pending.</t>
        </is>
      </c>
      <c r="H20" s="16" t="inlineStr">
        <is>
          <t>ghostreport/src/main/java/com/ghostreport/controller; ghostreport/src/main/java/com/ghostreport/dto; ghostreport/src/test/java/com/ghostreport/security</t>
        </is>
      </c>
    </row>
    <row r="21" ht="60" customHeight="1" s="35">
      <c r="A21" s="19" t="inlineStr">
        <is>
          <t>V4.4</t>
        </is>
      </c>
      <c r="B21" s="19" t="inlineStr">
        <is>
          <t>WebSocket</t>
        </is>
      </c>
      <c r="C21" s="20" t="inlineStr">
        <is>
          <t>V4.4.4</t>
        </is>
      </c>
      <c r="D21" s="21" t="inlineStr">
        <is>
          <t>Verify that dedicated WebSocket session management tokens are initially obtained or validated through the previously authenticated HTTPS session when transitioning an existing HTTPS session to a WebSocket channel.</t>
        </is>
      </c>
      <c r="E21" s="17" t="n">
        <v>2</v>
      </c>
      <c r="F21" s="39" t="inlineStr">
        <is>
          <t>Partially Compliant</t>
        </is>
      </c>
      <c r="G21" s="21" t="inlineStr">
        <is>
          <t>REST API uses DTOs, JSON responses and controlled errors; additional HTTP method/cache/proxy-boundary tests are pending.</t>
        </is>
      </c>
      <c r="H21" s="21" t="inlineStr">
        <is>
          <t>ghostreport/src/main/java/com/ghostreport/controller; ghostreport/src/main/java/com/ghostreport/dto; ghostreport/src/test/java/com/ghostreport/security</t>
        </is>
      </c>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1" showDropDown="0" showInputMessage="0" showErrorMessage="0" allowBlank="1" type="list">
      <formula1>"Not Started,In Progress,Compliant,Not Applicable"</formula1>
      <formula2>0</formula2>
    </dataValidation>
  </dataValidation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H18"/>
  <sheetViews>
    <sheetView zoomScale="80" zoomScaleNormal="80" workbookViewId="0">
      <selection activeCell="G8" sqref="G8"/>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V5.1</t>
        </is>
      </c>
      <c r="B2" s="13" t="inlineStr">
        <is>
          <t>File Handling Documentation</t>
        </is>
      </c>
      <c r="C2" s="13" t="n"/>
      <c r="D2" s="13" t="n"/>
      <c r="E2" s="13" t="n"/>
      <c r="F2" s="13" t="n"/>
      <c r="G2" s="13" t="n"/>
      <c r="H2" s="13" t="n"/>
    </row>
    <row r="3" ht="112.5" customHeight="1" s="35">
      <c r="A3" s="14" t="inlineStr">
        <is>
          <t>V5.1</t>
        </is>
      </c>
      <c r="B3" s="14" t="inlineStr">
        <is>
          <t>File Handling Documentation</t>
        </is>
      </c>
      <c r="C3" s="15" t="inlineStr">
        <is>
          <t>V5.1.1</t>
        </is>
      </c>
      <c r="D3" s="16"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17" t="n">
        <v>2</v>
      </c>
      <c r="F3" s="39" t="inlineStr">
        <is>
          <t>Partially Compliant</t>
        </is>
      </c>
      <c r="G3" s="16" t="inlineStr">
        <is>
          <t>Upload handling validates size, type, extension, magic bytes and storage boundary; AV scanning/quarantine and user quotas are not implemented.</t>
        </is>
      </c>
      <c r="H3" s="16" t="inlineStr">
        <is>
          <t>ghostreport/src/main/java/com/ghostreport/service/FileStorageService.java; ghostreport/src/test/java/com/ghostreport/service/FileStorageServiceTest.java</t>
        </is>
      </c>
    </row>
    <row r="4" ht="18" customHeight="1" s="35">
      <c r="A4" s="13" t="inlineStr">
        <is>
          <t>V5.2</t>
        </is>
      </c>
      <c r="B4" s="13" t="inlineStr">
        <is>
          <t>File Upload and Content</t>
        </is>
      </c>
      <c r="C4" s="13" t="n"/>
      <c r="D4" s="13" t="n"/>
      <c r="E4" s="13" t="n"/>
      <c r="F4" s="13" t="n"/>
      <c r="G4" s="13" t="n"/>
      <c r="H4" s="13" t="n"/>
    </row>
    <row r="5" ht="120" customHeight="1" s="35">
      <c r="A5" s="14" t="inlineStr">
        <is>
          <t>V5.2</t>
        </is>
      </c>
      <c r="B5" s="14" t="inlineStr">
        <is>
          <t>File Upload and Content</t>
        </is>
      </c>
      <c r="C5" s="15" t="inlineStr">
        <is>
          <t>V5.2.1</t>
        </is>
      </c>
      <c r="D5" s="16" t="inlineStr">
        <is>
          <t>Verify that the application will only accept files of a size which it can process without causing a loss of performance or a denial of service attack.</t>
        </is>
      </c>
      <c r="E5" s="22" t="n">
        <v>1</v>
      </c>
      <c r="F5" s="40" t="inlineStr">
        <is>
          <t>Compliant</t>
        </is>
      </c>
      <c r="G5" s="16" t="inlineStr">
        <is>
          <t>Multipart and service limits enforce maximum file size.</t>
        </is>
      </c>
      <c r="H5" s="16" t="inlineStr">
        <is>
          <t>ghostreport/src/main/resources/application.yaml; ghostreport/src/main/java/com/ghostreport/service/FileStorageService.java</t>
        </is>
      </c>
    </row>
    <row r="6" ht="150" customHeight="1" s="35">
      <c r="A6" s="19" t="inlineStr">
        <is>
          <t>V5.2</t>
        </is>
      </c>
      <c r="B6" s="19" t="inlineStr">
        <is>
          <t>File Upload and Content</t>
        </is>
      </c>
      <c r="C6" s="20" t="inlineStr">
        <is>
          <t>V5.2.2</t>
        </is>
      </c>
      <c r="D6" s="21"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22" t="n">
        <v>1</v>
      </c>
      <c r="F6" s="40" t="inlineStr">
        <is>
          <t>Compliant</t>
        </is>
      </c>
      <c r="G6" s="21" t="inlineStr">
        <is>
          <t>Upload validates extension, declared type and magic bytes.</t>
        </is>
      </c>
      <c r="H6" s="21" t="inlineStr">
        <is>
          <t>ghostreport/src/main/java/com/ghostreport/service/FileStorageService.java; ghostreport/src/test/java/com/ghostreport/service/FileStorageServiceTest.java</t>
        </is>
      </c>
    </row>
    <row r="7" ht="45" customHeight="1" s="35">
      <c r="A7" s="14" t="inlineStr">
        <is>
          <t>V5.2</t>
        </is>
      </c>
      <c r="B7" s="14" t="inlineStr">
        <is>
          <t>File Upload and Content</t>
        </is>
      </c>
      <c r="C7" s="15" t="inlineStr">
        <is>
          <t>V5.2.3</t>
        </is>
      </c>
      <c r="D7" s="16" t="inlineStr">
        <is>
          <t>Verify that the application checks compressed files (e.g., zip, gz, docx, odt) against maximum allowed uncompressed size and against maximum number of files before uncompressing the file.</t>
        </is>
      </c>
      <c r="E7" s="17" t="n">
        <v>2</v>
      </c>
      <c r="F7" s="39" t="inlineStr">
        <is>
          <t>Partially Compliant</t>
        </is>
      </c>
      <c r="G7" s="16" t="inlineStr">
        <is>
          <t>Upload handling validates size, type, extension, magic bytes and storage boundary; AV scanning/quarantine and user quotas are not implemented.</t>
        </is>
      </c>
      <c r="H7" s="16" t="inlineStr">
        <is>
          <t>ghostreport/src/main/java/com/ghostreport/service/FileStorageService.java; ghostreport/src/test/java/com/ghostreport/service/FileStorageServiceTest.java</t>
        </is>
      </c>
    </row>
    <row r="8" ht="71.25" customHeight="1" s="35">
      <c r="A8" s="19" t="inlineStr">
        <is>
          <t>V5.2</t>
        </is>
      </c>
      <c r="B8" s="19" t="inlineStr">
        <is>
          <t>File Upload and Content</t>
        </is>
      </c>
      <c r="C8" s="20" t="inlineStr">
        <is>
          <t>V5.2.4</t>
        </is>
      </c>
      <c r="D8" s="21" t="inlineStr">
        <is>
          <t>Verify that a file size quota and maximum number of files per user are enforced to ensure that a single user cannot fill up the storage with too many files, or excessively large files.</t>
        </is>
      </c>
      <c r="E8" s="23" t="n">
        <v>3</v>
      </c>
      <c r="F8" s="39" t="inlineStr">
        <is>
          <t>Partially Compliant</t>
        </is>
      </c>
      <c r="G8" s="21" t="inlineStr">
        <is>
          <t>Upload handling validates size, type, extension, magic bytes and storage boundary; AV scanning/quarantine and user quotas are not implemented.</t>
        </is>
      </c>
      <c r="H8" s="21" t="inlineStr">
        <is>
          <t>ghostreport/src/main/java/com/ghostreport/service/FileStorageService.java; ghostreport/src/test/java/com/ghostreport/service/FileStorageServiceTest.java</t>
        </is>
      </c>
    </row>
    <row r="9" ht="60" customHeight="1" s="35">
      <c r="A9" s="14" t="inlineStr">
        <is>
          <t>V5.2</t>
        </is>
      </c>
      <c r="B9" s="14" t="inlineStr">
        <is>
          <t>File Upload and Content</t>
        </is>
      </c>
      <c r="C9" s="15" t="inlineStr">
        <is>
          <t>V5.2.5</t>
        </is>
      </c>
      <c r="D9" s="16" t="inlineStr">
        <is>
          <t>Verify that the application does not allow uploading compressed files containing symlinks unless this is specifically required (in which case it will be necessary to enforce an allowlist of the files that can be symlinked to).</t>
        </is>
      </c>
      <c r="E9" s="23" t="n">
        <v>3</v>
      </c>
      <c r="F9" s="39" t="inlineStr">
        <is>
          <t>Partially Compliant</t>
        </is>
      </c>
      <c r="G9" s="16" t="inlineStr">
        <is>
          <t>Upload handling validates size, type, extension, magic bytes and storage boundary; AV scanning/quarantine and user quotas are not implemented.</t>
        </is>
      </c>
      <c r="H9" s="16" t="inlineStr">
        <is>
          <t>ghostreport/src/main/java/com/ghostreport/service/FileStorageService.java; ghostreport/src/test/java/com/ghostreport/service/FileStorageServiceTest.java</t>
        </is>
      </c>
    </row>
    <row r="10" ht="45" customHeight="1" s="35">
      <c r="A10" s="19" t="inlineStr">
        <is>
          <t>V5.2</t>
        </is>
      </c>
      <c r="B10" s="19" t="inlineStr">
        <is>
          <t>File Upload and Content</t>
        </is>
      </c>
      <c r="C10" s="20" t="inlineStr">
        <is>
          <t>V5.2.6</t>
        </is>
      </c>
      <c r="D10" s="21" t="inlineStr">
        <is>
          <t>Verify that the application rejects uploaded images with a pixel size larger than the maximum allowed, to prevent pixel flood attacks.</t>
        </is>
      </c>
      <c r="E10" s="23" t="n">
        <v>3</v>
      </c>
      <c r="F10" s="39" t="inlineStr">
        <is>
          <t>Partially Compliant</t>
        </is>
      </c>
      <c r="G10" s="21" t="inlineStr">
        <is>
          <t>Upload handling validates size, type, extension, magic bytes and storage boundary; AV scanning/quarantine and user quotas are not implemented.</t>
        </is>
      </c>
      <c r="H10" s="21" t="inlineStr">
        <is>
          <t>ghostreport/src/main/java/com/ghostreport/service/FileStorageService.java; ghostreport/src/test/java/com/ghostreport/service/FileStorageServiceTest.java</t>
        </is>
      </c>
    </row>
    <row r="11" ht="18" customHeight="1" s="35">
      <c r="A11" s="13" t="inlineStr">
        <is>
          <t>V5.3</t>
        </is>
      </c>
      <c r="B11" s="13" t="inlineStr">
        <is>
          <t>File Storage</t>
        </is>
      </c>
      <c r="C11" s="13" t="n"/>
      <c r="D11" s="13" t="n"/>
      <c r="E11" s="13" t="n"/>
      <c r="F11" s="13" t="n"/>
      <c r="G11" s="13" t="n"/>
      <c r="H11" s="13" t="n"/>
    </row>
    <row r="12" ht="90" customHeight="1" s="35">
      <c r="A12" s="14" t="inlineStr">
        <is>
          <t>V5.3</t>
        </is>
      </c>
      <c r="B12" s="14" t="inlineStr">
        <is>
          <t>File Storage</t>
        </is>
      </c>
      <c r="C12" s="15" t="inlineStr">
        <is>
          <t>V5.3.1</t>
        </is>
      </c>
      <c r="D12" s="16" t="inlineStr">
        <is>
          <t>Verify that files uploaded or generated by untrusted input and stored in a public folder, are not executed as server-side program code when accessed directly with an HTTP request.</t>
        </is>
      </c>
      <c r="E12" s="22" t="n">
        <v>1</v>
      </c>
      <c r="F12" s="39" t="inlineStr">
        <is>
          <t>Partially Compliant</t>
        </is>
      </c>
      <c r="G12" s="16" t="inlineStr">
        <is>
          <t>Upload handling validates size, type, extension, magic bytes and storage boundary; AV scanning/quarantine and user quotas are not implemented.</t>
        </is>
      </c>
      <c r="H12" s="16" t="inlineStr">
        <is>
          <t>ghostreport/src/main/java/com/ghostreport/service/FileStorageService.java; ghostreport/src/test/java/com/ghostreport/service/FileStorageServiceTest.java</t>
        </is>
      </c>
    </row>
    <row r="13" ht="105" customHeight="1" s="35">
      <c r="A13" s="19" t="inlineStr">
        <is>
          <t>V5.3</t>
        </is>
      </c>
      <c r="B13" s="19" t="inlineStr">
        <is>
          <t>File Storage</t>
        </is>
      </c>
      <c r="C13" s="20" t="inlineStr">
        <is>
          <t>V5.3.2</t>
        </is>
      </c>
      <c r="D13" s="21"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22" t="n">
        <v>1</v>
      </c>
      <c r="F13" s="40" t="inlineStr">
        <is>
          <t>Compliant</t>
        </is>
      </c>
      <c r="G13" s="21" t="inlineStr">
        <is>
          <t>Path traversal is rejected through SafeFilename and normalized storage boundary checks.</t>
        </is>
      </c>
      <c r="H13" s="21" t="inlineStr">
        <is>
          <t>ghostreport/src/main/java/com/ghostreport/domain/SafeFilename.java; ghostreport/src/test/java/com/ghostreport/security/SafeFilenameSecurityTest.java</t>
        </is>
      </c>
    </row>
    <row r="14" ht="90" customHeight="1" s="35">
      <c r="A14" s="14" t="inlineStr">
        <is>
          <t>V5.3</t>
        </is>
      </c>
      <c r="B14" s="14" t="inlineStr">
        <is>
          <t>File Storage</t>
        </is>
      </c>
      <c r="C14" s="15" t="inlineStr">
        <is>
          <t>V5.3.3</t>
        </is>
      </c>
      <c r="D14" s="16" t="inlineStr">
        <is>
          <t>Verify that server-side file processing, such as file decompression, ignores user-provided path information to prevent vulnerabilities such as zip slip.</t>
        </is>
      </c>
      <c r="E14" s="23" t="n">
        <v>3</v>
      </c>
      <c r="F14" s="39" t="inlineStr">
        <is>
          <t>Partially Compliant</t>
        </is>
      </c>
      <c r="G14" s="16" t="inlineStr">
        <is>
          <t>Upload handling validates size, type, extension, magic bytes and storage boundary; AV scanning/quarantine and user quotas are not implemented.</t>
        </is>
      </c>
      <c r="H14" s="16" t="inlineStr">
        <is>
          <t>ghostreport/src/main/java/com/ghostreport/service/FileStorageService.java; ghostreport/src/test/java/com/ghostreport/service/FileStorageServiceTest.java</t>
        </is>
      </c>
    </row>
    <row r="15" ht="18" customHeight="1" s="35">
      <c r="A15" s="13" t="inlineStr">
        <is>
          <t>V5.4</t>
        </is>
      </c>
      <c r="B15" s="13" t="inlineStr">
        <is>
          <t>File Download</t>
        </is>
      </c>
      <c r="C15" s="13" t="n"/>
      <c r="D15" s="13" t="n"/>
      <c r="E15" s="13" t="n"/>
      <c r="F15" s="13" t="n"/>
      <c r="G15" s="13" t="n"/>
      <c r="H15" s="13" t="n"/>
    </row>
    <row r="16" ht="60" customHeight="1" s="35">
      <c r="A16" s="14" t="inlineStr">
        <is>
          <t>V5.4</t>
        </is>
      </c>
      <c r="B16" s="14" t="inlineStr">
        <is>
          <t>File Download</t>
        </is>
      </c>
      <c r="C16" s="15" t="inlineStr">
        <is>
          <t>V5.4.1</t>
        </is>
      </c>
      <c r="D16" s="16" t="inlineStr">
        <is>
          <t>Verify that the application validates or ignores user-submitted filenames, including in a JSON, JSONP, or URL parameter and specifies a filename in the Content-Disposition header field in the response.</t>
        </is>
      </c>
      <c r="E16" s="17" t="n">
        <v>2</v>
      </c>
      <c r="F16" s="39" t="inlineStr">
        <is>
          <t>Partially Compliant</t>
        </is>
      </c>
      <c r="G16" s="16" t="inlineStr">
        <is>
          <t>Upload handling validates size, type, extension, magic bytes and storage boundary; AV scanning/quarantine and user quotas are not implemented.</t>
        </is>
      </c>
      <c r="H16" s="16" t="inlineStr">
        <is>
          <t>ghostreport/src/main/java/com/ghostreport/service/FileStorageService.java; ghostreport/src/test/java/com/ghostreport/service/FileStorageServiceTest.java</t>
        </is>
      </c>
    </row>
    <row r="17" ht="60" customHeight="1" s="35">
      <c r="A17" s="19" t="inlineStr">
        <is>
          <t>V5.4</t>
        </is>
      </c>
      <c r="B17" s="19" t="inlineStr">
        <is>
          <t>File Download</t>
        </is>
      </c>
      <c r="C17" s="20" t="inlineStr">
        <is>
          <t>V5.4.2</t>
        </is>
      </c>
      <c r="D17" s="21" t="inlineStr">
        <is>
          <t>Verify that file names served (e.g., in HTTP response header fields or email attachments) are encoded or sanitized (e.g., following RFC 6266) to preserve document structure and prevent injection attacks.</t>
        </is>
      </c>
      <c r="E17" s="17" t="n">
        <v>2</v>
      </c>
      <c r="F17" s="39" t="inlineStr">
        <is>
          <t>Partially Compliant</t>
        </is>
      </c>
      <c r="G17" s="21" t="inlineStr">
        <is>
          <t>Upload handling validates size, type, extension, magic bytes and storage boundary; AV scanning/quarantine and user quotas are not implemented.</t>
        </is>
      </c>
      <c r="H17" s="21" t="inlineStr">
        <is>
          <t>ghostreport/src/main/java/com/ghostreport/service/FileStorageService.java; ghostreport/src/test/java/com/ghostreport/service/FileStorageServiceTest.java</t>
        </is>
      </c>
    </row>
    <row r="18" ht="60" customHeight="1" s="35">
      <c r="A18" s="14" t="inlineStr">
        <is>
          <t>V5.4</t>
        </is>
      </c>
      <c r="B18" s="14" t="inlineStr">
        <is>
          <t>File Download</t>
        </is>
      </c>
      <c r="C18" s="15" t="inlineStr">
        <is>
          <t>V5.4.3</t>
        </is>
      </c>
      <c r="D18" s="16" t="inlineStr">
        <is>
          <t>Verify that files obtained from untrusted sources are scanned by antivirus scanners to prevent serving of known malicious content.</t>
        </is>
      </c>
      <c r="E18" s="17" t="n">
        <v>2</v>
      </c>
      <c r="F18" s="39" t="inlineStr">
        <is>
          <t>Partially Compliant</t>
        </is>
      </c>
      <c r="G18" s="16" t="inlineStr">
        <is>
          <t>Upload handling validates size, type, extension, magic bytes and storage boundary; AV scanning/quarantine and user quotas are not implemented.</t>
        </is>
      </c>
      <c r="H18" s="16" t="inlineStr">
        <is>
          <t>ghostreport/src/main/java/com/ghostreport/service/FileStorageService.java; ghostreport/src/test/java/com/ghostreport/service/FileStorageServiceTest.java</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56"/>
  <sheetViews>
    <sheetView topLeftCell="A14" zoomScale="60" zoomScaleNormal="60" workbookViewId="0">
      <selection activeCell="G14" sqref="G14"/>
    </sheetView>
  </sheetViews>
  <sheetFormatPr baseColWidth="8" defaultColWidth="8.42578125" defaultRowHeight="15"/>
  <cols>
    <col width="12" customWidth="1" style="35" min="1" max="1"/>
    <col width="28" customWidth="1" style="35" min="2" max="2"/>
    <col width="12" customWidth="1" style="35" min="3" max="3"/>
    <col width="93" customWidth="1" style="35" min="4" max="4"/>
    <col width="8" customWidth="1" style="35" min="5" max="5"/>
    <col width="16" customWidth="1" style="35" min="6" max="6"/>
    <col width="48.42578125" customWidth="1" style="35" min="7"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V6.1</t>
        </is>
      </c>
      <c r="B2" s="13" t="inlineStr">
        <is>
          <t>Authentication Documentation</t>
        </is>
      </c>
      <c r="C2" s="13" t="n"/>
      <c r="D2" s="13" t="n"/>
      <c r="E2" s="13" t="n"/>
      <c r="F2" s="13" t="n"/>
      <c r="G2" s="13" t="n"/>
      <c r="H2" s="13" t="n"/>
    </row>
    <row r="3" ht="60" customHeight="1" s="35">
      <c r="A3" s="14" t="inlineStr">
        <is>
          <t>V6.1</t>
        </is>
      </c>
      <c r="B3" s="14" t="inlineStr">
        <is>
          <t>Authentication Documentation</t>
        </is>
      </c>
      <c r="C3" s="15" t="inlineStr">
        <is>
          <t>V6.1.1</t>
        </is>
      </c>
      <c r="D3" s="16"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22" t="n">
        <v>1</v>
      </c>
      <c r="F3" s="39" t="inlineStr">
        <is>
          <t>Partially Compliant</t>
        </is>
      </c>
      <c r="G3" s="16" t="inlineStr">
        <is>
          <t>BCrypt, inactive-user checks and login rate limiting exist; MFA, password reset, password history and stronger lockout remain future work.</t>
        </is>
      </c>
      <c r="H3" s="16" t="inlineStr">
        <is>
          <t>ghostreport/src/main/java/com/ghostreport/service/AuthService.java; ghostreport/src/test/java/com/ghostreport/security/LoginRateLimitSecurityTest.java</t>
        </is>
      </c>
    </row>
    <row r="4" ht="45" customHeight="1" s="35">
      <c r="A4" s="19" t="inlineStr">
        <is>
          <t>V6.1</t>
        </is>
      </c>
      <c r="B4" s="19" t="inlineStr">
        <is>
          <t>Authentication Documentation</t>
        </is>
      </c>
      <c r="C4" s="20" t="inlineStr">
        <is>
          <t>V6.1.2</t>
        </is>
      </c>
      <c r="D4" s="21" t="inlineStr">
        <is>
          <t>Verify that a list of context-specific words is documented in order to prevent their use in passwords. The list could include permutations of organization names, product names, system identifiers, project codenames, department or role names, and similar.</t>
        </is>
      </c>
      <c r="E4" s="31" t="n">
        <v>2</v>
      </c>
      <c r="F4" s="39" t="inlineStr">
        <is>
          <t>Partially Compliant</t>
        </is>
      </c>
      <c r="G4" s="21" t="inlineStr">
        <is>
          <t>BCrypt, inactive-user checks and login rate limiting exist; MFA, password reset, password history and stronger lockout remain future work.</t>
        </is>
      </c>
      <c r="H4" s="21" t="inlineStr">
        <is>
          <t>ghostreport/src/main/java/com/ghostreport/service/AuthService.java; ghostreport/src/test/java/com/ghostreport/security/LoginRateLimitSecurityTest.java</t>
        </is>
      </c>
    </row>
    <row r="5" ht="45" customHeight="1" s="35">
      <c r="A5" s="28" t="inlineStr">
        <is>
          <t>V6.1</t>
        </is>
      </c>
      <c r="B5" s="28" t="inlineStr">
        <is>
          <t>Authentication Documentation</t>
        </is>
      </c>
      <c r="C5" s="29" t="inlineStr">
        <is>
          <t>V6.1.3</t>
        </is>
      </c>
      <c r="D5" s="30" t="inlineStr">
        <is>
          <t>Verify that, if the application includes multiple authentication pathways, these are all documented together with the security controls and authentication strength which must be consistently enforced across them.</t>
        </is>
      </c>
      <c r="E5" s="31" t="n">
        <v>2</v>
      </c>
      <c r="F5" s="39" t="inlineStr">
        <is>
          <t>Partially Compliant</t>
        </is>
      </c>
      <c r="G5" s="30" t="inlineStr">
        <is>
          <t>BCrypt, inactive-user checks and login rate limiting exist; MFA, password reset, password history and stronger lockout remain future work.</t>
        </is>
      </c>
      <c r="H5" s="30" t="inlineStr">
        <is>
          <t>ghostreport/src/main/java/com/ghostreport/service/AuthService.java; ghostreport/src/test/java/com/ghostreport/security/LoginRateLimitSecurityTest.java</t>
        </is>
      </c>
    </row>
    <row r="6" ht="18" customHeight="1" s="35">
      <c r="A6" s="13" t="inlineStr">
        <is>
          <t>V6.2</t>
        </is>
      </c>
      <c r="B6" s="13" t="inlineStr">
        <is>
          <t>Password Security</t>
        </is>
      </c>
      <c r="C6" s="13" t="n"/>
      <c r="D6" s="13" t="n"/>
      <c r="E6" s="13" t="n"/>
      <c r="F6" s="13" t="n"/>
      <c r="G6" s="13" t="n"/>
      <c r="H6" s="13" t="n"/>
    </row>
    <row r="7" ht="45" customHeight="1" s="35">
      <c r="A7" s="14" t="inlineStr">
        <is>
          <t>V6.2</t>
        </is>
      </c>
      <c r="B7" s="14" t="inlineStr">
        <is>
          <t>Password Security</t>
        </is>
      </c>
      <c r="C7" s="15" t="inlineStr">
        <is>
          <t>V6.2.1</t>
        </is>
      </c>
      <c r="D7" s="16" t="inlineStr">
        <is>
          <t>Verify that user set passwords are at least 8 characters in length although a minimum of 15 characters is strongly recommended.</t>
        </is>
      </c>
      <c r="E7" s="22" t="n">
        <v>1</v>
      </c>
      <c r="F7" s="39" t="inlineStr">
        <is>
          <t>Partially Compliant</t>
        </is>
      </c>
      <c r="G7" s="16" t="inlineStr">
        <is>
          <t>BCrypt, inactive-user checks and login rate limiting exist; MFA, password reset, password history and stronger lockout remain future work.</t>
        </is>
      </c>
      <c r="H7" s="16" t="inlineStr">
        <is>
          <t>ghostreport/src/main/java/com/ghostreport/service/AuthService.java; ghostreport/src/test/java/com/ghostreport/security/LoginRateLimitSecurityTest.java</t>
        </is>
      </c>
    </row>
    <row r="8" ht="45" customHeight="1" s="35">
      <c r="A8" s="19" t="inlineStr">
        <is>
          <t>V6.2</t>
        </is>
      </c>
      <c r="B8" s="19" t="inlineStr">
        <is>
          <t>Password Security</t>
        </is>
      </c>
      <c r="C8" s="20" t="inlineStr">
        <is>
          <t>V6.2.2</t>
        </is>
      </c>
      <c r="D8" s="21" t="inlineStr">
        <is>
          <t>Verify that users can change their password.</t>
        </is>
      </c>
      <c r="E8" s="22" t="n">
        <v>1</v>
      </c>
      <c r="F8" s="39" t="inlineStr">
        <is>
          <t>Partially Compliant</t>
        </is>
      </c>
      <c r="G8" s="16" t="inlineStr">
        <is>
          <t>BCrypt, inactive-user checks and login rate limiting exist; MFA, password reset, password history and stronger lockout remain future work.</t>
        </is>
      </c>
      <c r="H8" s="16" t="inlineStr">
        <is>
          <t>ghostreport/src/main/java/com/ghostreport/service/AuthService.java; ghostreport/src/test/java/com/ghostreport/security/LoginRateLimitSecurityTest.java</t>
        </is>
      </c>
    </row>
    <row r="9" ht="45" customHeight="1" s="35">
      <c r="A9" s="14" t="inlineStr">
        <is>
          <t>V6.2</t>
        </is>
      </c>
      <c r="B9" s="14" t="inlineStr">
        <is>
          <t>Password Security</t>
        </is>
      </c>
      <c r="C9" s="15" t="inlineStr">
        <is>
          <t>V6.2.3</t>
        </is>
      </c>
      <c r="D9" s="16" t="inlineStr">
        <is>
          <t>Verify that password change functionality requires the user's current and new password.</t>
        </is>
      </c>
      <c r="E9" s="22" t="n">
        <v>1</v>
      </c>
      <c r="F9" s="39" t="inlineStr">
        <is>
          <t>Partially Compliant</t>
        </is>
      </c>
      <c r="G9" s="16" t="inlineStr">
        <is>
          <t>BCrypt, inactive-user checks and login rate limiting exist; MFA, password reset, password history and stronger lockout remain future work.</t>
        </is>
      </c>
      <c r="H9" s="16" t="inlineStr">
        <is>
          <t>ghostreport/src/main/java/com/ghostreport/service/AuthService.java; ghostreport/src/test/java/com/ghostreport/security/LoginRateLimitSecurityTest.java</t>
        </is>
      </c>
    </row>
    <row r="10" ht="45" customHeight="1" s="35">
      <c r="A10" s="19" t="inlineStr">
        <is>
          <t>V6.2</t>
        </is>
      </c>
      <c r="B10" s="19" t="inlineStr">
        <is>
          <t>Password Security</t>
        </is>
      </c>
      <c r="C10" s="20" t="inlineStr">
        <is>
          <t>V6.2.4</t>
        </is>
      </c>
      <c r="D10" s="21" t="inlineStr">
        <is>
          <t>Verify that passwords submitted during account registration or password change are checked against an available set of, at least, the top 3000 passwords which match the application's password policy, e.g. minimum length.</t>
        </is>
      </c>
      <c r="E10" s="22" t="n">
        <v>1</v>
      </c>
      <c r="F10" s="39" t="inlineStr">
        <is>
          <t>Partially Compliant</t>
        </is>
      </c>
      <c r="G10" s="16" t="inlineStr">
        <is>
          <t>BCrypt, inactive-user checks and login rate limiting exist; MFA, password reset, password history and stronger lockout remain future work.</t>
        </is>
      </c>
      <c r="H10" s="16" t="inlineStr">
        <is>
          <t>ghostreport/src/main/java/com/ghostreport/service/AuthService.java; ghostreport/src/test/java/com/ghostreport/security/LoginRateLimitSecurityTest.java</t>
        </is>
      </c>
    </row>
    <row r="11" ht="45" customHeight="1" s="35">
      <c r="A11" s="14" t="inlineStr">
        <is>
          <t>V6.2</t>
        </is>
      </c>
      <c r="B11" s="14" t="inlineStr">
        <is>
          <t>Password Security</t>
        </is>
      </c>
      <c r="C11" s="15" t="inlineStr">
        <is>
          <t>V6.2.5</t>
        </is>
      </c>
      <c r="D11" s="16" t="inlineStr">
        <is>
          <t>Verify that passwords of any composition can be used, without rules limiting the type of characters permitted. There must be no requirement for a minimum number of upper or lower case characters, numbers, or special characters.</t>
        </is>
      </c>
      <c r="E11" s="22" t="n">
        <v>1</v>
      </c>
      <c r="F11" s="39" t="inlineStr">
        <is>
          <t>Partially Compliant</t>
        </is>
      </c>
      <c r="G11" s="16" t="inlineStr">
        <is>
          <t>BCrypt, inactive-user checks and login rate limiting exist; MFA, password reset, password history and stronger lockout remain future work.</t>
        </is>
      </c>
      <c r="H11" s="16" t="inlineStr">
        <is>
          <t>ghostreport/src/main/java/com/ghostreport/service/AuthService.java; ghostreport/src/test/java/com/ghostreport/security/LoginRateLimitSecurityTest.java</t>
        </is>
      </c>
    </row>
    <row r="12" ht="30" customHeight="1" s="35">
      <c r="A12" s="19" t="inlineStr">
        <is>
          <t>V6.2</t>
        </is>
      </c>
      <c r="B12" s="19" t="inlineStr">
        <is>
          <t>Password Security</t>
        </is>
      </c>
      <c r="C12" s="20" t="inlineStr">
        <is>
          <t>V6.2.6</t>
        </is>
      </c>
      <c r="D12" s="21" t="inlineStr">
        <is>
          <t>Verify that password input fields use type=password to mask the entry. Applications may allow the user to temporarily view the entire masked password, or the last typed character of the password.</t>
        </is>
      </c>
      <c r="E12" s="22" t="n">
        <v>1</v>
      </c>
      <c r="F12" s="39" t="inlineStr">
        <is>
          <t>Partially Compliant</t>
        </is>
      </c>
      <c r="G12" s="21" t="inlineStr">
        <is>
          <t>BCrypt, inactive-user checks and login rate limiting exist; MFA, password reset, password history and stronger lockout remain future work.</t>
        </is>
      </c>
      <c r="H12" s="21" t="inlineStr">
        <is>
          <t>ghostreport/src/main/java/com/ghostreport/service/AuthService.java; ghostreport/src/test/java/com/ghostreport/security/LoginRateLimitSecurityTest.java</t>
        </is>
      </c>
    </row>
    <row r="13" ht="45" customHeight="1" s="35">
      <c r="A13" s="14" t="inlineStr">
        <is>
          <t>V6.2</t>
        </is>
      </c>
      <c r="B13" s="14" t="inlineStr">
        <is>
          <t>Password Security</t>
        </is>
      </c>
      <c r="C13" s="15" t="inlineStr">
        <is>
          <t>V6.2.7</t>
        </is>
      </c>
      <c r="D13" s="16" t="inlineStr">
        <is>
          <t>Verify that "paste" functionality, browser password helpers, and external password managers are permitted.</t>
        </is>
      </c>
      <c r="E13" s="22" t="n">
        <v>1</v>
      </c>
      <c r="F13" s="39" t="inlineStr">
        <is>
          <t>Partially Compliant</t>
        </is>
      </c>
      <c r="G13" s="16" t="inlineStr">
        <is>
          <t>BCrypt, inactive-user checks and login rate limiting exist; MFA, password reset, password history and stronger lockout remain future work.</t>
        </is>
      </c>
      <c r="H13" s="16" t="inlineStr">
        <is>
          <t>ghostreport/src/main/java/com/ghostreport/service/AuthService.java; ghostreport/src/test/java/com/ghostreport/security/LoginRateLimitSecurityTest.java</t>
        </is>
      </c>
    </row>
    <row r="14" ht="45" customHeight="1" s="35">
      <c r="A14" s="19" t="inlineStr">
        <is>
          <t>V6.2</t>
        </is>
      </c>
      <c r="B14" s="19" t="inlineStr">
        <is>
          <t>Password Security</t>
        </is>
      </c>
      <c r="C14" s="20" t="inlineStr">
        <is>
          <t>V6.2.8</t>
        </is>
      </c>
      <c r="D14" s="21" t="inlineStr">
        <is>
          <t>Verify that the application verifies the user's password exactly as received from the user, without any modifications such as truncation or case transformation.</t>
        </is>
      </c>
      <c r="E14" s="22" t="n">
        <v>1</v>
      </c>
      <c r="F14" s="40" t="inlineStr">
        <is>
          <t>Compliant</t>
        </is>
      </c>
      <c r="G14" s="21" t="inlineStr">
        <is>
          <t>Passwords are stored using BCrypt PasswordEncoder.</t>
        </is>
      </c>
      <c r="H14" s="21" t="inlineStr">
        <is>
          <t>ghostreport/src/main/java/com/ghostreport/security/SecurityConfig.java; ghostreport/src/test/java/com/ghostreport/security/AdminUserManagementSecurityTest.java</t>
        </is>
      </c>
    </row>
    <row r="15" ht="45" customHeight="1" s="35">
      <c r="A15" s="14" t="inlineStr">
        <is>
          <t>V6.2</t>
        </is>
      </c>
      <c r="B15" s="14" t="inlineStr">
        <is>
          <t>Password Security</t>
        </is>
      </c>
      <c r="C15" s="15" t="inlineStr">
        <is>
          <t>V6.2.9</t>
        </is>
      </c>
      <c r="D15" s="16" t="inlineStr">
        <is>
          <t>Verify that passwords of at least 64 characters are permitted.</t>
        </is>
      </c>
      <c r="E15" s="17" t="n">
        <v>2</v>
      </c>
      <c r="F15" s="39" t="inlineStr">
        <is>
          <t>Partially Compliant</t>
        </is>
      </c>
      <c r="G15" s="21" t="inlineStr">
        <is>
          <t>BCrypt, inactive-user checks and login rate limiting exist; MFA, password reset, password history and stronger lockout remain future work.</t>
        </is>
      </c>
      <c r="H15" s="21" t="inlineStr">
        <is>
          <t>ghostreport/src/main/java/com/ghostreport/service/AuthService.java; ghostreport/src/test/java/com/ghostreport/security/LoginRateLimitSecurityTest.java</t>
        </is>
      </c>
    </row>
    <row r="16" ht="45" customHeight="1" s="35">
      <c r="A16" s="19" t="inlineStr">
        <is>
          <t>V6.2</t>
        </is>
      </c>
      <c r="B16" s="19" t="inlineStr">
        <is>
          <t>Password Security</t>
        </is>
      </c>
      <c r="C16" s="20" t="inlineStr">
        <is>
          <t>V6.2.10</t>
        </is>
      </c>
      <c r="D16" s="21" t="inlineStr">
        <is>
          <t>Verify that a user's password stays valid until it is discovered to be compromised or the user rotates it. The application must not require periodic credential rotation.</t>
        </is>
      </c>
      <c r="E16" s="17" t="n">
        <v>2</v>
      </c>
      <c r="F16" s="39" t="inlineStr">
        <is>
          <t>Partially Compliant</t>
        </is>
      </c>
      <c r="G16" s="21" t="inlineStr">
        <is>
          <t>BCrypt, inactive-user checks and login rate limiting exist; MFA, password reset, password history and stronger lockout remain future work.</t>
        </is>
      </c>
      <c r="H16" s="21" t="inlineStr">
        <is>
          <t>ghostreport/src/main/java/com/ghostreport/service/AuthService.java; ghostreport/src/test/java/com/ghostreport/security/LoginRateLimitSecurityTest.java</t>
        </is>
      </c>
    </row>
    <row r="17" ht="45" customHeight="1" s="35">
      <c r="A17" s="14" t="inlineStr">
        <is>
          <t>V6.2</t>
        </is>
      </c>
      <c r="B17" s="14" t="inlineStr">
        <is>
          <t>Password Security</t>
        </is>
      </c>
      <c r="C17" s="15" t="inlineStr">
        <is>
          <t>V6.2.11</t>
        </is>
      </c>
      <c r="D17" s="16" t="inlineStr">
        <is>
          <t>Verify that the documented list of context specific words is used to prevent easy to guess passwords being created.</t>
        </is>
      </c>
      <c r="E17" s="17" t="n">
        <v>2</v>
      </c>
      <c r="F17" s="39" t="inlineStr">
        <is>
          <t>Partially Compliant</t>
        </is>
      </c>
      <c r="G17" s="21" t="inlineStr">
        <is>
          <t>BCrypt, inactive-user checks and login rate limiting exist; MFA, password reset, password history and stronger lockout remain future work.</t>
        </is>
      </c>
      <c r="H17" s="21" t="inlineStr">
        <is>
          <t>ghostreport/src/main/java/com/ghostreport/service/AuthService.java; ghostreport/src/test/java/com/ghostreport/security/LoginRateLimitSecurityTest.java</t>
        </is>
      </c>
    </row>
    <row r="18" ht="45" customHeight="1" s="35">
      <c r="A18" s="19" t="inlineStr">
        <is>
          <t>V6.2</t>
        </is>
      </c>
      <c r="B18" s="19" t="inlineStr">
        <is>
          <t>Password Security</t>
        </is>
      </c>
      <c r="C18" s="20" t="inlineStr">
        <is>
          <t>V6.2.12</t>
        </is>
      </c>
      <c r="D18" s="21" t="inlineStr">
        <is>
          <t>Verify that passwords submitted during account registration or password changes are checked against a set of breached passwords.</t>
        </is>
      </c>
      <c r="E18" s="17" t="n">
        <v>2</v>
      </c>
      <c r="F18" s="39" t="inlineStr">
        <is>
          <t>Partially Compliant</t>
        </is>
      </c>
      <c r="G18" s="21" t="inlineStr">
        <is>
          <t>BCrypt, inactive-user checks and login rate limiting exist; MFA, password reset, password history and stronger lockout remain future work.</t>
        </is>
      </c>
      <c r="H18" s="21" t="inlineStr">
        <is>
          <t>ghostreport/src/main/java/com/ghostreport/service/AuthService.java; ghostreport/src/test/java/com/ghostreport/security/LoginRateLimitSecurityTest.java</t>
        </is>
      </c>
    </row>
    <row r="19" ht="18" customHeight="1" s="35">
      <c r="A19" s="13" t="inlineStr">
        <is>
          <t>V6.3</t>
        </is>
      </c>
      <c r="B19" s="13" t="inlineStr">
        <is>
          <t>General Authentication Security</t>
        </is>
      </c>
      <c r="C19" s="13" t="n"/>
      <c r="D19" s="13" t="n"/>
      <c r="E19" s="13" t="n"/>
      <c r="F19" s="13" t="n"/>
      <c r="G19" s="13" t="n"/>
      <c r="H19" s="13" t="n"/>
    </row>
    <row r="20" ht="45" customHeight="1" s="35">
      <c r="A20" s="14" t="inlineStr">
        <is>
          <t>V6.3</t>
        </is>
      </c>
      <c r="B20" s="14" t="inlineStr">
        <is>
          <t>General Authentication Security</t>
        </is>
      </c>
      <c r="C20" s="15" t="inlineStr">
        <is>
          <t>V6.3.1</t>
        </is>
      </c>
      <c r="D20" s="16" t="inlineStr">
        <is>
          <t>Verify that controls to prevent attacks such as credential stuffing and password brute force are implemented according to the application's security documentation.</t>
        </is>
      </c>
      <c r="E20" s="22" t="n">
        <v>1</v>
      </c>
      <c r="F20" s="40" t="inlineStr">
        <is>
          <t>Compliant</t>
        </is>
      </c>
      <c r="G20" s="16" t="inlineStr">
        <is>
          <t>Login abuse is rate limited and covered by security tests.</t>
        </is>
      </c>
      <c r="H20" s="16" t="inlineStr">
        <is>
          <t>ghostreport/src/main/java/com/ghostreport/service/RateLimiterService.java; ghostreport/src/test/java/com/ghostreport/security/LoginRateLimitSecurityTest.java</t>
        </is>
      </c>
    </row>
    <row r="21" ht="45" customHeight="1" s="35">
      <c r="A21" s="19" t="inlineStr">
        <is>
          <t>V6.3</t>
        </is>
      </c>
      <c r="B21" s="19" t="inlineStr">
        <is>
          <t>General Authentication Security</t>
        </is>
      </c>
      <c r="C21" s="20" t="inlineStr">
        <is>
          <t>V6.3.2</t>
        </is>
      </c>
      <c r="D21" s="21" t="inlineStr">
        <is>
          <t>Verify that default user accounts (e.g., "root", "admin", or "sa") are not present in the application or are disabled.</t>
        </is>
      </c>
      <c r="E21" s="22" t="n">
        <v>1</v>
      </c>
      <c r="F21" s="39" t="inlineStr">
        <is>
          <t>Partially Compliant</t>
        </is>
      </c>
      <c r="G21" s="21" t="inlineStr">
        <is>
          <t>BCrypt, inactive-user checks and login rate limiting exist; MFA, password reset, password history and stronger lockout remain future work.</t>
        </is>
      </c>
      <c r="H21" s="21" t="inlineStr">
        <is>
          <t>ghostreport/src/main/java/com/ghostreport/service/AuthService.java; ghostreport/src/test/java/com/ghostreport/security/LoginRateLimitSecurityTest.java</t>
        </is>
      </c>
    </row>
    <row r="22" ht="105" customHeight="1" s="35">
      <c r="A22" s="14" t="inlineStr">
        <is>
          <t>V6.3</t>
        </is>
      </c>
      <c r="B22" s="14" t="inlineStr">
        <is>
          <t>General Authentication Security</t>
        </is>
      </c>
      <c r="C22" s="15" t="inlineStr">
        <is>
          <t>V6.3.3</t>
        </is>
      </c>
      <c r="D22" s="16"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17" t="n">
        <v>2</v>
      </c>
      <c r="F22" s="39" t="inlineStr">
        <is>
          <t>Partially Compliant</t>
        </is>
      </c>
      <c r="G22" s="16" t="inlineStr">
        <is>
          <t>BCrypt, inactive-user checks and login rate limiting exist; MFA, password reset, password history and stronger lockout remain future work.</t>
        </is>
      </c>
      <c r="H22" s="16" t="inlineStr">
        <is>
          <t>ghostreport/src/main/java/com/ghostreport/service/AuthService.java; ghostreport/src/test/java/com/ghostreport/security/LoginRateLimitSecurityTest.java</t>
        </is>
      </c>
    </row>
    <row r="23" ht="45" customHeight="1" s="35">
      <c r="A23" s="19" t="inlineStr">
        <is>
          <t>V6.3</t>
        </is>
      </c>
      <c r="B23" s="19" t="inlineStr">
        <is>
          <t>General Authentication Security</t>
        </is>
      </c>
      <c r="C23" s="20" t="inlineStr">
        <is>
          <t>V6.3.4</t>
        </is>
      </c>
      <c r="D23" s="21" t="inlineStr">
        <is>
          <t>Verify that, if the application includes multiple authentication pathways, there are no undocumented pathways and that security controls and authentication strength are enforced consistently.</t>
        </is>
      </c>
      <c r="E23" s="17" t="n">
        <v>2</v>
      </c>
      <c r="F23" s="39" t="inlineStr">
        <is>
          <t>Partially Compliant</t>
        </is>
      </c>
      <c r="G23" s="21" t="inlineStr">
        <is>
          <t>BCrypt, inactive-user checks and login rate limiting exist; MFA, password reset, password history and stronger lockout remain future work.</t>
        </is>
      </c>
      <c r="H23" s="21" t="inlineStr">
        <is>
          <t>ghostreport/src/main/java/com/ghostreport/service/AuthService.java; ghostreport/src/test/java/com/ghostreport/security/LoginRateLimitSecurityTest.java</t>
        </is>
      </c>
    </row>
    <row r="24" ht="60" customHeight="1" s="35">
      <c r="A24" s="14" t="inlineStr">
        <is>
          <t>V6.3</t>
        </is>
      </c>
      <c r="B24" s="14" t="inlineStr">
        <is>
          <t>General Authentication Security</t>
        </is>
      </c>
      <c r="C24" s="15" t="inlineStr">
        <is>
          <t>V6.3.5</t>
        </is>
      </c>
      <c r="D24" s="16"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23" t="n">
        <v>3</v>
      </c>
      <c r="F24" s="39" t="inlineStr">
        <is>
          <t>Partially Compliant</t>
        </is>
      </c>
      <c r="G24" s="16" t="inlineStr">
        <is>
          <t>BCrypt, inactive-user checks and login rate limiting exist; MFA, password reset, password history and stronger lockout remain future work.</t>
        </is>
      </c>
      <c r="H24" s="16" t="inlineStr">
        <is>
          <t>ghostreport/src/main/java/com/ghostreport/service/AuthService.java; ghostreport/src/test/java/com/ghostreport/security/LoginRateLimitSecurityTest.java</t>
        </is>
      </c>
    </row>
    <row r="25" ht="45" customHeight="1" s="35">
      <c r="A25" s="19" t="inlineStr">
        <is>
          <t>V6.3</t>
        </is>
      </c>
      <c r="B25" s="19" t="inlineStr">
        <is>
          <t>General Authentication Security</t>
        </is>
      </c>
      <c r="C25" s="20" t="inlineStr">
        <is>
          <t>V6.3.6</t>
        </is>
      </c>
      <c r="D25" s="21" t="inlineStr">
        <is>
          <t>Verify that email is not used as either a single-factor or multi-factor authentication mechanism.</t>
        </is>
      </c>
      <c r="E25" s="23" t="n">
        <v>3</v>
      </c>
      <c r="F25" s="39" t="inlineStr">
        <is>
          <t>Partially Compliant</t>
        </is>
      </c>
      <c r="G25" s="21" t="inlineStr">
        <is>
          <t>BCrypt, inactive-user checks and login rate limiting exist; MFA, password reset, password history and stronger lockout remain future work.</t>
        </is>
      </c>
      <c r="H25" s="21" t="inlineStr">
        <is>
          <t>ghostreport/src/main/java/com/ghostreport/service/AuthService.java; ghostreport/src/test/java/com/ghostreport/security/LoginRateLimitSecurityTest.java</t>
        </is>
      </c>
    </row>
    <row r="26" ht="45" customHeight="1" s="35">
      <c r="A26" s="14" t="inlineStr">
        <is>
          <t>V6.3</t>
        </is>
      </c>
      <c r="B26" s="14" t="inlineStr">
        <is>
          <t>General Authentication Security</t>
        </is>
      </c>
      <c r="C26" s="15" t="inlineStr">
        <is>
          <t>V6.3.7</t>
        </is>
      </c>
      <c r="D26" s="16" t="inlineStr">
        <is>
          <t>Verify that users are notified after updates to authentication details, such as credential resets or modification of the username or email address.</t>
        </is>
      </c>
      <c r="E26" s="23" t="n">
        <v>3</v>
      </c>
      <c r="F26" s="39" t="inlineStr">
        <is>
          <t>Partially Compliant</t>
        </is>
      </c>
      <c r="G26" s="16" t="inlineStr">
        <is>
          <t>BCrypt, inactive-user checks and login rate limiting exist; MFA, password reset, password history and stronger lockout remain future work.</t>
        </is>
      </c>
      <c r="H26" s="16" t="inlineStr">
        <is>
          <t>ghostreport/src/main/java/com/ghostreport/service/AuthService.java; ghostreport/src/test/java/com/ghostreport/security/LoginRateLimitSecurityTest.java</t>
        </is>
      </c>
    </row>
    <row r="27" ht="45" customHeight="1" s="35">
      <c r="A27" s="19" t="inlineStr">
        <is>
          <t>V6.3</t>
        </is>
      </c>
      <c r="B27" s="19" t="inlineStr">
        <is>
          <t>General Authentication Security</t>
        </is>
      </c>
      <c r="C27" s="20" t="inlineStr">
        <is>
          <t>V6.3.8</t>
        </is>
      </c>
      <c r="D27" s="21" t="inlineStr">
        <is>
          <t>Verify that valid users cannot be deduced from failed authentication challenges, such as by basing on error messages, HTTP response codes, or different response times. Registration and forgot password functionality must also have this protection.</t>
        </is>
      </c>
      <c r="E27" s="23" t="n">
        <v>3</v>
      </c>
      <c r="F27" s="39" t="inlineStr">
        <is>
          <t>Partially Compliant</t>
        </is>
      </c>
      <c r="G27" s="21" t="inlineStr">
        <is>
          <t>BCrypt, inactive-user checks and login rate limiting exist; MFA, password reset, password history and stronger lockout remain future work.</t>
        </is>
      </c>
      <c r="H27" s="21" t="inlineStr">
        <is>
          <t>ghostreport/src/main/java/com/ghostreport/service/AuthService.java; ghostreport/src/test/java/com/ghostreport/security/LoginRateLimitSecurityTest.java</t>
        </is>
      </c>
    </row>
    <row r="28" ht="18" customHeight="1" s="35">
      <c r="A28" s="13" t="inlineStr">
        <is>
          <t>V6.4</t>
        </is>
      </c>
      <c r="B28" s="13" t="inlineStr">
        <is>
          <t>Authentication Factor Lifecycle and Recovery</t>
        </is>
      </c>
      <c r="C28" s="13" t="n"/>
      <c r="D28" s="13" t="n"/>
      <c r="E28" s="13" t="n"/>
      <c r="F28" s="13" t="n"/>
      <c r="G28" s="13" t="n"/>
      <c r="H28" s="13" t="n"/>
    </row>
    <row r="29" ht="63" customHeight="1" s="35">
      <c r="A29" s="14" t="inlineStr">
        <is>
          <t>V6.4</t>
        </is>
      </c>
      <c r="B29" s="14" t="inlineStr">
        <is>
          <t>Authentication Factor Lifecycle and Recovery</t>
        </is>
      </c>
      <c r="C29" s="15" t="inlineStr">
        <is>
          <t>V6.4.1</t>
        </is>
      </c>
      <c r="D29" s="16"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22" t="n">
        <v>1</v>
      </c>
      <c r="F29" s="41" t="inlineStr">
        <is>
          <t>Not Started</t>
        </is>
      </c>
      <c r="G29" s="16" t="inlineStr">
        <is>
          <t>MFA is not implemented yet; document as residual risk/future improvement for ADMIN accounts.</t>
        </is>
      </c>
      <c r="H29" s="16" t="inlineStr">
        <is>
          <t>docs/ASVS_EVIDENCE.md</t>
        </is>
      </c>
    </row>
    <row r="30" ht="30" customHeight="1" s="35">
      <c r="A30" s="19" t="inlineStr">
        <is>
          <t>V6.4</t>
        </is>
      </c>
      <c r="B30" s="19" t="inlineStr">
        <is>
          <t>Authentication Factor Lifecycle and Recovery</t>
        </is>
      </c>
      <c r="C30" s="20" t="inlineStr">
        <is>
          <t>V6.4.2</t>
        </is>
      </c>
      <c r="D30" s="21" t="inlineStr">
        <is>
          <t>Verify that password hints or knowledge-based authentication (so-called "secret questions") are not present.</t>
        </is>
      </c>
      <c r="E30" s="22" t="n">
        <v>1</v>
      </c>
      <c r="F30" s="41" t="inlineStr">
        <is>
          <t>Not Started</t>
        </is>
      </c>
      <c r="G30" s="21" t="inlineStr">
        <is>
          <t>MFA is not implemented yet; document as residual risk/future improvement for ADMIN accounts.</t>
        </is>
      </c>
      <c r="H30" s="21" t="inlineStr">
        <is>
          <t>docs/ASVS_EVIDENCE.md</t>
        </is>
      </c>
    </row>
    <row r="31" ht="30" customHeight="1" s="35">
      <c r="A31" s="14" t="inlineStr">
        <is>
          <t>V6.4</t>
        </is>
      </c>
      <c r="B31" s="14" t="inlineStr">
        <is>
          <t>Authentication Factor Lifecycle and Recovery</t>
        </is>
      </c>
      <c r="C31" s="15" t="inlineStr">
        <is>
          <t>V6.4.3</t>
        </is>
      </c>
      <c r="D31" s="16" t="inlineStr">
        <is>
          <t>Verify that a secure process for resetting a forgotten password is implemented, that does not bypass any enabled multi-factor authentication mechanisms.</t>
        </is>
      </c>
      <c r="E31" s="17" t="n">
        <v>2</v>
      </c>
      <c r="F31" s="41" t="inlineStr">
        <is>
          <t>Not Started</t>
        </is>
      </c>
      <c r="G31" s="16" t="inlineStr">
        <is>
          <t>MFA is not implemented yet; document as residual risk/future improvement for ADMIN accounts.</t>
        </is>
      </c>
      <c r="H31" s="16" t="inlineStr">
        <is>
          <t>docs/ASVS_EVIDENCE.md</t>
        </is>
      </c>
    </row>
    <row r="32" ht="30" customHeight="1" s="35">
      <c r="A32" s="19" t="inlineStr">
        <is>
          <t>V6.4</t>
        </is>
      </c>
      <c r="B32" s="19" t="inlineStr">
        <is>
          <t>Authentication Factor Lifecycle and Recovery</t>
        </is>
      </c>
      <c r="C32" s="20" t="inlineStr">
        <is>
          <t>V6.4.4</t>
        </is>
      </c>
      <c r="D32" s="21" t="inlineStr">
        <is>
          <t>Verify that if a multi-factor authentication factor is lost, evidence of identity proofing is performed at the same level as during enrollment.</t>
        </is>
      </c>
      <c r="E32" s="17" t="n">
        <v>2</v>
      </c>
      <c r="F32" s="41" t="inlineStr">
        <is>
          <t>Not Started</t>
        </is>
      </c>
      <c r="G32" s="21" t="inlineStr">
        <is>
          <t>MFA is not implemented yet; document as residual risk/future improvement for ADMIN accounts.</t>
        </is>
      </c>
      <c r="H32" s="21" t="inlineStr">
        <is>
          <t>docs/ASVS_EVIDENCE.md</t>
        </is>
      </c>
    </row>
    <row r="33" ht="45" customHeight="1" s="35">
      <c r="A33" s="14" t="inlineStr">
        <is>
          <t>V6.4</t>
        </is>
      </c>
      <c r="B33" s="14" t="inlineStr">
        <is>
          <t>Authentication Factor Lifecycle and Recovery</t>
        </is>
      </c>
      <c r="C33" s="15" t="inlineStr">
        <is>
          <t>V6.4.5</t>
        </is>
      </c>
      <c r="D33" s="16" t="inlineStr">
        <is>
          <t>Verify that renewal instructions for authentication mechanisms which expire are sent with enough time to be carried out before the old authentication mechanism expires, configuring automated reminders if necessary.</t>
        </is>
      </c>
      <c r="E33" s="23" t="n">
        <v>3</v>
      </c>
      <c r="F33" s="41" t="inlineStr">
        <is>
          <t>Not Started</t>
        </is>
      </c>
      <c r="G33" s="16" t="inlineStr">
        <is>
          <t>MFA is not implemented yet; document as residual risk/future improvement for ADMIN accounts.</t>
        </is>
      </c>
      <c r="H33" s="16" t="inlineStr">
        <is>
          <t>docs/ASVS_EVIDENCE.md</t>
        </is>
      </c>
    </row>
    <row r="34" ht="45" customHeight="1" s="35">
      <c r="A34" s="19" t="inlineStr">
        <is>
          <t>V6.4</t>
        </is>
      </c>
      <c r="B34" s="19" t="inlineStr">
        <is>
          <t>Authentication Factor Lifecycle and Recovery</t>
        </is>
      </c>
      <c r="C34" s="20" t="inlineStr">
        <is>
          <t>V6.4.6</t>
        </is>
      </c>
      <c r="D34" s="21" t="inlineStr">
        <is>
          <t>Verify that administrative users can initiate the password reset process for the user, but that this does not allow them to change or choose the user's password. This prevents a situation where they know the user's password.</t>
        </is>
      </c>
      <c r="E34" s="23" t="n">
        <v>3</v>
      </c>
      <c r="F34" s="41" t="inlineStr">
        <is>
          <t>Not Started</t>
        </is>
      </c>
      <c r="G34" s="21" t="inlineStr">
        <is>
          <t>MFA is not implemented yet; document as residual risk/future improvement for ADMIN accounts.</t>
        </is>
      </c>
      <c r="H34" s="21" t="inlineStr">
        <is>
          <t>docs/ASVS_EVIDENCE.md</t>
        </is>
      </c>
    </row>
    <row r="35" ht="18" customHeight="1" s="35">
      <c r="A35" s="13" t="inlineStr">
        <is>
          <t>V6.5</t>
        </is>
      </c>
      <c r="B35" s="13" t="inlineStr">
        <is>
          <t>General Multi-factor authentication requirements</t>
        </is>
      </c>
      <c r="C35" s="13" t="n"/>
      <c r="D35" s="13" t="n"/>
      <c r="E35" s="13" t="n"/>
      <c r="F35" s="13" t="n"/>
      <c r="G35" s="13" t="n"/>
      <c r="H35" s="13" t="n"/>
    </row>
    <row r="36" ht="30" customHeight="1" s="35">
      <c r="A36" s="14" t="inlineStr">
        <is>
          <t>V6.5</t>
        </is>
      </c>
      <c r="B36" s="14" t="inlineStr">
        <is>
          <t>General Multi-factor authentication requirements</t>
        </is>
      </c>
      <c r="C36" s="15" t="inlineStr">
        <is>
          <t>V6.5.1</t>
        </is>
      </c>
      <c r="D36" s="16" t="inlineStr">
        <is>
          <t>Verify that lookup secrets, out-of-band authentication requests or codes, and time-based one-time passwords (TOTPs) are only successfully usable once.</t>
        </is>
      </c>
      <c r="E36" s="17" t="n">
        <v>2</v>
      </c>
      <c r="F36" s="41" t="inlineStr">
        <is>
          <t>Not Started</t>
        </is>
      </c>
      <c r="G36" s="16" t="inlineStr">
        <is>
          <t>Password recovery/reset flow is not implemented yet.</t>
        </is>
      </c>
      <c r="H36" s="16" t="inlineStr">
        <is>
          <t>docs/ASVS_EVIDENCE.md</t>
        </is>
      </c>
    </row>
    <row r="37" ht="60" customHeight="1" s="35">
      <c r="A37" s="19" t="inlineStr">
        <is>
          <t>V6.5</t>
        </is>
      </c>
      <c r="B37" s="19" t="inlineStr">
        <is>
          <t>General Multi-factor authentication requirements</t>
        </is>
      </c>
      <c r="C37" s="20" t="inlineStr">
        <is>
          <t>V6.5.2</t>
        </is>
      </c>
      <c r="D37" s="21"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17" t="n">
        <v>2</v>
      </c>
      <c r="F37" s="41" t="inlineStr">
        <is>
          <t>Not Started</t>
        </is>
      </c>
      <c r="G37" s="21" t="inlineStr">
        <is>
          <t>Password recovery/reset flow is not implemented yet.</t>
        </is>
      </c>
      <c r="H37" s="21" t="inlineStr">
        <is>
          <t>docs/ASVS_EVIDENCE.md</t>
        </is>
      </c>
    </row>
    <row r="38" ht="45" customHeight="1" s="35">
      <c r="A38" s="14" t="inlineStr">
        <is>
          <t>V6.5</t>
        </is>
      </c>
      <c r="B38" s="14" t="inlineStr">
        <is>
          <t>General Multi-factor authentication requirements</t>
        </is>
      </c>
      <c r="C38" s="15" t="inlineStr">
        <is>
          <t>V6.5.3</t>
        </is>
      </c>
      <c r="D38" s="16" t="inlineStr">
        <is>
          <t>Verify that lookup secrets, out-of-band authentication code, and time-based one-time password seeds, are generated using a Cryptographically Secure Pseudorandom Number Generator (CSPRNG) to avoid predictable values.</t>
        </is>
      </c>
      <c r="E38" s="17" t="n">
        <v>2</v>
      </c>
      <c r="F38" s="41" t="inlineStr">
        <is>
          <t>Not Started</t>
        </is>
      </c>
      <c r="G38" s="16" t="inlineStr">
        <is>
          <t>Password recovery/reset flow is not implemented yet.</t>
        </is>
      </c>
      <c r="H38" s="16" t="inlineStr">
        <is>
          <t>docs/ASVS_EVIDENCE.md</t>
        </is>
      </c>
    </row>
    <row r="39" ht="30" customHeight="1" s="35">
      <c r="A39" s="19" t="inlineStr">
        <is>
          <t>V6.5</t>
        </is>
      </c>
      <c r="B39" s="19" t="inlineStr">
        <is>
          <t>General Multi-factor authentication requirements</t>
        </is>
      </c>
      <c r="C39" s="20" t="inlineStr">
        <is>
          <t>V6.5.4</t>
        </is>
      </c>
      <c r="D39" s="21" t="inlineStr">
        <is>
          <t>Verify that lookup secrets and out-of-band authentication codes have a minimum of 20 bits of entropy (typically 4 random alphanumeric characters or 6 random digits is sufficient).</t>
        </is>
      </c>
      <c r="E39" s="17" t="n">
        <v>2</v>
      </c>
      <c r="F39" s="41" t="inlineStr">
        <is>
          <t>Not Started</t>
        </is>
      </c>
      <c r="G39" s="21" t="inlineStr">
        <is>
          <t>Password recovery/reset flow is not implemented yet.</t>
        </is>
      </c>
      <c r="H39" s="21" t="inlineStr">
        <is>
          <t>docs/ASVS_EVIDENCE.md</t>
        </is>
      </c>
    </row>
    <row r="40" ht="45" customHeight="1" s="35">
      <c r="A40" s="14" t="inlineStr">
        <is>
          <t>V6.5</t>
        </is>
      </c>
      <c r="B40" s="14" t="inlineStr">
        <is>
          <t>General Multi-factor authentication requirements</t>
        </is>
      </c>
      <c r="C40" s="15" t="inlineStr">
        <is>
          <t>V6.5.5</t>
        </is>
      </c>
      <c r="D40" s="16" t="inlineStr">
        <is>
          <t>Verify that out-of-band authentication requests, codes, or tokens, as well as time-based one-time passwords (TOTPs) have a defined lifetime. Out of band requests must have a maximum lifetime of 10 minutes and for TOTP a maximum lifetime of 30 seconds.</t>
        </is>
      </c>
      <c r="E40" s="17" t="n">
        <v>2</v>
      </c>
      <c r="F40" s="41" t="inlineStr">
        <is>
          <t>Not Started</t>
        </is>
      </c>
      <c r="G40" s="16" t="inlineStr">
        <is>
          <t>Password recovery/reset flow is not implemented yet.</t>
        </is>
      </c>
      <c r="H40" s="16" t="inlineStr">
        <is>
          <t>docs/ASVS_EVIDENCE.md</t>
        </is>
      </c>
    </row>
    <row r="41" ht="30" customHeight="1" s="35">
      <c r="A41" s="19" t="inlineStr">
        <is>
          <t>V6.5</t>
        </is>
      </c>
      <c r="B41" s="19" t="inlineStr">
        <is>
          <t>General Multi-factor authentication requirements</t>
        </is>
      </c>
      <c r="C41" s="20" t="inlineStr">
        <is>
          <t>V6.5.6</t>
        </is>
      </c>
      <c r="D41" s="21" t="inlineStr">
        <is>
          <t>Verify that any authentication factor (including physical devices) can be revoked in case of theft or other loss.</t>
        </is>
      </c>
      <c r="E41" s="23" t="n">
        <v>3</v>
      </c>
      <c r="F41" s="41" t="inlineStr">
        <is>
          <t>Not Started</t>
        </is>
      </c>
      <c r="G41" s="21" t="inlineStr">
        <is>
          <t>Password recovery/reset flow is not implemented yet.</t>
        </is>
      </c>
      <c r="H41" s="21" t="inlineStr">
        <is>
          <t>docs/ASVS_EVIDENCE.md</t>
        </is>
      </c>
    </row>
    <row r="42" ht="30" customHeight="1" s="35">
      <c r="A42" s="14" t="inlineStr">
        <is>
          <t>V6.5</t>
        </is>
      </c>
      <c r="B42" s="14" t="inlineStr">
        <is>
          <t>General Multi-factor authentication requirements</t>
        </is>
      </c>
      <c r="C42" s="15" t="inlineStr">
        <is>
          <t>V6.5.7</t>
        </is>
      </c>
      <c r="D42" s="16" t="inlineStr">
        <is>
          <t>Verify that biometric authentication mechanisms are only used as secondary factors together with either something you have or something you know.</t>
        </is>
      </c>
      <c r="E42" s="23" t="n">
        <v>3</v>
      </c>
      <c r="F42" s="41" t="inlineStr">
        <is>
          <t>Not Started</t>
        </is>
      </c>
      <c r="G42" s="16" t="inlineStr">
        <is>
          <t>Password recovery/reset flow is not implemented yet.</t>
        </is>
      </c>
      <c r="H42" s="16" t="inlineStr">
        <is>
          <t>docs/ASVS_EVIDENCE.md</t>
        </is>
      </c>
    </row>
    <row r="43" ht="30" customHeight="1" s="35">
      <c r="A43" s="19" t="inlineStr">
        <is>
          <t>V6.5</t>
        </is>
      </c>
      <c r="B43" s="19" t="inlineStr">
        <is>
          <t>General Multi-factor authentication requirements</t>
        </is>
      </c>
      <c r="C43" s="20" t="inlineStr">
        <is>
          <t>V6.5.8</t>
        </is>
      </c>
      <c r="D43" s="21" t="inlineStr">
        <is>
          <t>Verify that time-based one-time passwords (TOTPs) are checked based on a time source from a trusted service and not from an untrusted or client provided time.</t>
        </is>
      </c>
      <c r="E43" s="23" t="n">
        <v>3</v>
      </c>
      <c r="F43" s="41" t="inlineStr">
        <is>
          <t>Not Started</t>
        </is>
      </c>
      <c r="G43" s="21" t="inlineStr">
        <is>
          <t>Password recovery/reset flow is not implemented yet.</t>
        </is>
      </c>
      <c r="H43" s="21" t="inlineStr">
        <is>
          <t>docs/ASVS_EVIDENCE.md</t>
        </is>
      </c>
    </row>
    <row r="44" ht="18" customHeight="1" s="35">
      <c r="A44" s="13" t="inlineStr">
        <is>
          <t>V6.6</t>
        </is>
      </c>
      <c r="B44" s="13" t="inlineStr">
        <is>
          <t>Out-of-Band authentication mechanisms</t>
        </is>
      </c>
      <c r="C44" s="13" t="n"/>
      <c r="D44" s="13" t="n"/>
      <c r="E44" s="13" t="n"/>
      <c r="F44" s="13" t="n"/>
      <c r="G44" s="13" t="n"/>
      <c r="H44" s="13" t="n"/>
    </row>
    <row r="45" ht="75" customHeight="1" s="35">
      <c r="A45" s="14" t="inlineStr">
        <is>
          <t>V6.6</t>
        </is>
      </c>
      <c r="B45" s="14" t="inlineStr">
        <is>
          <t>Out-of-Band authentication mechanisms</t>
        </is>
      </c>
      <c r="C45" s="15" t="inlineStr">
        <is>
          <t>V6.6.1</t>
        </is>
      </c>
      <c r="D45" s="16"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17" t="n">
        <v>2</v>
      </c>
      <c r="F45" s="39" t="inlineStr">
        <is>
          <t>Partially Compliant</t>
        </is>
      </c>
      <c r="G45" s="16" t="inlineStr">
        <is>
          <t>BCrypt, inactive-user checks and login rate limiting exist; MFA, password reset, password history and stronger lockout remain future work.</t>
        </is>
      </c>
      <c r="H45" s="16" t="inlineStr">
        <is>
          <t>ghostreport/src/main/java/com/ghostreport/service/AuthService.java; ghostreport/src/test/java/com/ghostreport/security/LoginRateLimitSecurityTest.java</t>
        </is>
      </c>
    </row>
    <row r="46" ht="45" customHeight="1" s="35">
      <c r="A46" s="19" t="inlineStr">
        <is>
          <t>V6.6</t>
        </is>
      </c>
      <c r="B46" s="19" t="inlineStr">
        <is>
          <t>Out-of-Band authentication mechanisms</t>
        </is>
      </c>
      <c r="C46" s="20" t="inlineStr">
        <is>
          <t>V6.6.2</t>
        </is>
      </c>
      <c r="D46" s="21" t="inlineStr">
        <is>
          <t>Verify that out-of-band authentication requests, codes, or tokens are bound to the original authentication request for which they were generated and are not usable for a previous or subsequent one.</t>
        </is>
      </c>
      <c r="E46" s="17" t="n">
        <v>2</v>
      </c>
      <c r="F46" s="39" t="inlineStr">
        <is>
          <t>Partially Compliant</t>
        </is>
      </c>
      <c r="G46" s="21" t="inlineStr">
        <is>
          <t>BCrypt, inactive-user checks and login rate limiting exist; MFA, password reset, password history and stronger lockout remain future work.</t>
        </is>
      </c>
      <c r="H46" s="21" t="inlineStr">
        <is>
          <t>ghostreport/src/main/java/com/ghostreport/service/AuthService.java; ghostreport/src/test/java/com/ghostreport/security/LoginRateLimitSecurityTest.java</t>
        </is>
      </c>
    </row>
    <row r="47" ht="30" customHeight="1" s="35">
      <c r="A47" s="14" t="inlineStr">
        <is>
          <t>V6.6</t>
        </is>
      </c>
      <c r="B47" s="14" t="inlineStr">
        <is>
          <t>Out-of-Band authentication mechanisms</t>
        </is>
      </c>
      <c r="C47" s="15" t="inlineStr">
        <is>
          <t>V6.6.3</t>
        </is>
      </c>
      <c r="D47" s="16" t="inlineStr">
        <is>
          <t>Verify that a code based out-of-band authentication mechanism is protected against brute force attacks by using rate limiting. Consider also using a code with at least 64 bits of entropy.</t>
        </is>
      </c>
      <c r="E47" s="17" t="n">
        <v>2</v>
      </c>
      <c r="F47" s="39" t="inlineStr">
        <is>
          <t>Partially Compliant</t>
        </is>
      </c>
      <c r="G47" s="16" t="inlineStr">
        <is>
          <t>BCrypt, inactive-user checks and login rate limiting exist; MFA, password reset, password history and stronger lockout remain future work.</t>
        </is>
      </c>
      <c r="H47" s="16" t="inlineStr">
        <is>
          <t>ghostreport/src/main/java/com/ghostreport/service/AuthService.java; ghostreport/src/test/java/com/ghostreport/security/LoginRateLimitSecurityTest.java</t>
        </is>
      </c>
    </row>
    <row r="48" ht="30" customHeight="1" s="35">
      <c r="A48" s="19" t="inlineStr">
        <is>
          <t>V6.6</t>
        </is>
      </c>
      <c r="B48" s="19" t="inlineStr">
        <is>
          <t>Out-of-Band authentication mechanisms</t>
        </is>
      </c>
      <c r="C48" s="20" t="inlineStr">
        <is>
          <t>V6.6.4</t>
        </is>
      </c>
      <c r="D48" s="21" t="inlineStr">
        <is>
          <t>Verify that, where push notifications are used for multi-factor authentication, rate limiting is used to prevent push bombing attacks. Number matching may also mitigate this risk.</t>
        </is>
      </c>
      <c r="E48" s="23" t="n">
        <v>3</v>
      </c>
      <c r="F48" s="39" t="inlineStr">
        <is>
          <t>Partially Compliant</t>
        </is>
      </c>
      <c r="G48" s="21" t="inlineStr">
        <is>
          <t>BCrypt, inactive-user checks and login rate limiting exist; MFA, password reset, password history and stronger lockout remain future work.</t>
        </is>
      </c>
      <c r="H48" s="21" t="inlineStr">
        <is>
          <t>ghostreport/src/main/java/com/ghostreport/service/AuthService.java; ghostreport/src/test/java/com/ghostreport/security/LoginRateLimitSecurityTest.java</t>
        </is>
      </c>
    </row>
    <row r="49" ht="18" customHeight="1" s="35">
      <c r="A49" s="13" t="inlineStr">
        <is>
          <t>V6.7</t>
        </is>
      </c>
      <c r="B49" s="13" t="inlineStr">
        <is>
          <t>Cryptographic authentication mechanism</t>
        </is>
      </c>
      <c r="C49" s="13" t="n"/>
      <c r="D49" s="13" t="n"/>
      <c r="E49" s="13" t="n"/>
      <c r="F49" s="13" t="n"/>
      <c r="G49" s="13" t="n"/>
      <c r="H49" s="13" t="n"/>
    </row>
    <row r="50" ht="30" customHeight="1" s="35">
      <c r="A50" s="14" t="inlineStr">
        <is>
          <t>V6.7</t>
        </is>
      </c>
      <c r="B50" s="14" t="inlineStr">
        <is>
          <t>Cryptographic authentication mechanism</t>
        </is>
      </c>
      <c r="C50" s="15" t="inlineStr">
        <is>
          <t>V6.7.1</t>
        </is>
      </c>
      <c r="D50" s="16" t="inlineStr">
        <is>
          <t>Verify that the certificates used to verify cryptographic authentication assertions are stored in a way protects them from modification.</t>
        </is>
      </c>
      <c r="E50" s="23" t="n">
        <v>3</v>
      </c>
      <c r="F50" s="39" t="inlineStr">
        <is>
          <t>Partially Compliant</t>
        </is>
      </c>
      <c r="G50" s="16" t="inlineStr">
        <is>
          <t>BCrypt, inactive-user checks and login rate limiting exist; MFA, password reset, password history and stronger lockout remain future work.</t>
        </is>
      </c>
      <c r="H50" s="16" t="inlineStr">
        <is>
          <t>ghostreport/src/main/java/com/ghostreport/service/AuthService.java; ghostreport/src/test/java/com/ghostreport/security/LoginRateLimitSecurityTest.java</t>
        </is>
      </c>
    </row>
    <row r="51" ht="30" customHeight="1" s="35">
      <c r="A51" s="19" t="inlineStr">
        <is>
          <t>V6.7</t>
        </is>
      </c>
      <c r="B51" s="19" t="inlineStr">
        <is>
          <t>Cryptographic authentication mechanism</t>
        </is>
      </c>
      <c r="C51" s="20" t="inlineStr">
        <is>
          <t>V6.7.2</t>
        </is>
      </c>
      <c r="D51" s="21" t="inlineStr">
        <is>
          <t>Verify that the challenge nonce is at least 64 bits in length, and statistically unique or unique over the lifetime of the cryptographic device.</t>
        </is>
      </c>
      <c r="E51" s="23" t="n">
        <v>3</v>
      </c>
      <c r="F51" s="39" t="inlineStr">
        <is>
          <t>Partially Compliant</t>
        </is>
      </c>
      <c r="G51" s="21" t="inlineStr">
        <is>
          <t>BCrypt, inactive-user checks and login rate limiting exist; MFA, password reset, password history and stronger lockout remain future work.</t>
        </is>
      </c>
      <c r="H51" s="21" t="inlineStr">
        <is>
          <t>ghostreport/src/main/java/com/ghostreport/service/AuthService.java; ghostreport/src/test/java/com/ghostreport/security/LoginRateLimitSecurityTest.java</t>
        </is>
      </c>
    </row>
    <row r="52" ht="18" customHeight="1" s="35">
      <c r="A52" s="13" t="inlineStr">
        <is>
          <t>V6.8</t>
        </is>
      </c>
      <c r="B52" s="13" t="inlineStr">
        <is>
          <t>Authentication with an Identity Provider</t>
        </is>
      </c>
      <c r="C52" s="13" t="n"/>
      <c r="D52" s="13" t="n"/>
      <c r="E52" s="13" t="n"/>
      <c r="F52" s="13" t="n"/>
      <c r="G52" s="13" t="n"/>
      <c r="H52" s="13" t="n"/>
    </row>
    <row r="53" ht="60" customHeight="1" s="35">
      <c r="A53" s="14" t="inlineStr">
        <is>
          <t>V6.8</t>
        </is>
      </c>
      <c r="B53" s="14" t="inlineStr">
        <is>
          <t>Authentication with an Identity Provider</t>
        </is>
      </c>
      <c r="C53" s="15" t="inlineStr">
        <is>
          <t>V6.8.1</t>
        </is>
      </c>
      <c r="D53" s="16"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17" t="n">
        <v>2</v>
      </c>
      <c r="F53" s="39" t="inlineStr">
        <is>
          <t>Partially Compliant</t>
        </is>
      </c>
      <c r="G53" s="16" t="inlineStr">
        <is>
          <t>BCrypt, inactive-user checks and login rate limiting exist; MFA, password reset, password history and stronger lockout remain future work.</t>
        </is>
      </c>
      <c r="H53" s="16" t="inlineStr">
        <is>
          <t>ghostreport/src/main/java/com/ghostreport/service/AuthService.java; ghostreport/src/test/java/com/ghostreport/security/LoginRateLimitSecurityTest.java</t>
        </is>
      </c>
    </row>
    <row r="54" ht="60" customHeight="1" s="35">
      <c r="A54" s="19" t="inlineStr">
        <is>
          <t>V6.8</t>
        </is>
      </c>
      <c r="B54" s="19" t="inlineStr">
        <is>
          <t>Authentication with an Identity Provider</t>
        </is>
      </c>
      <c r="C54" s="20" t="inlineStr">
        <is>
          <t>V6.8.2</t>
        </is>
      </c>
      <c r="D54" s="21" t="inlineStr">
        <is>
          <t>Verify that the presence and integrity of digital signatures on authentication assertions (for example on JWTs or SAML assertions) are always validated, rejecting any assertions that are unsigned or have invalid signatures.</t>
        </is>
      </c>
      <c r="E54" s="17" t="n">
        <v>2</v>
      </c>
      <c r="F54" s="39" t="inlineStr">
        <is>
          <t>Partially Compliant</t>
        </is>
      </c>
      <c r="G54" s="21" t="inlineStr">
        <is>
          <t>BCrypt, inactive-user checks and login rate limiting exist; MFA, password reset, password history and stronger lockout remain future work.</t>
        </is>
      </c>
      <c r="H54" s="21" t="inlineStr">
        <is>
          <t>ghostreport/src/main/java/com/ghostreport/service/AuthService.java; ghostreport/src/test/java/com/ghostreport/security/LoginRateLimitSecurityTest.java</t>
        </is>
      </c>
    </row>
    <row r="55" ht="30" customHeight="1" s="35">
      <c r="A55" s="14" t="inlineStr">
        <is>
          <t>V6.8</t>
        </is>
      </c>
      <c r="B55" s="14" t="inlineStr">
        <is>
          <t>Authentication with an Identity Provider</t>
        </is>
      </c>
      <c r="C55" s="15" t="inlineStr">
        <is>
          <t>V6.8.3</t>
        </is>
      </c>
      <c r="D55" s="16" t="inlineStr">
        <is>
          <t>Verify that SAML assertions are uniquely processed and used only once within the validity period to prevent replay attacks.</t>
        </is>
      </c>
      <c r="E55" s="17" t="n">
        <v>2</v>
      </c>
      <c r="F55" s="39" t="inlineStr">
        <is>
          <t>Partially Compliant</t>
        </is>
      </c>
      <c r="G55" s="16" t="inlineStr">
        <is>
          <t>BCrypt, inactive-user checks and login rate limiting exist; MFA, password reset, password history and stronger lockout remain future work.</t>
        </is>
      </c>
      <c r="H55" s="16" t="inlineStr">
        <is>
          <t>ghostreport/src/main/java/com/ghostreport/service/AuthService.java; ghostreport/src/test/java/com/ghostreport/security/LoginRateLimitSecurityTest.java</t>
        </is>
      </c>
    </row>
    <row r="56" ht="105" customHeight="1" s="35">
      <c r="A56" s="19" t="inlineStr">
        <is>
          <t>V6.8</t>
        </is>
      </c>
      <c r="B56" s="19" t="inlineStr">
        <is>
          <t>Authentication with an Identity Provider</t>
        </is>
      </c>
      <c r="C56" s="20" t="inlineStr">
        <is>
          <t>V6.8.4</t>
        </is>
      </c>
      <c r="D56" s="21"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17" t="n">
        <v>2</v>
      </c>
      <c r="F56" s="39" t="inlineStr">
        <is>
          <t>Partially Compliant</t>
        </is>
      </c>
      <c r="G56" s="21" t="inlineStr">
        <is>
          <t>BCrypt, inactive-user checks and login rate limiting exist; MFA, password reset, password history and stronger lockout remain future work.</t>
        </is>
      </c>
      <c r="H56" s="21" t="inlineStr">
        <is>
          <t>ghostreport/src/main/java/com/ghostreport/service/AuthService.java; ghostreport/src/test/java/com/ghostreport/security/LoginRateLimitSecurityTest.java</t>
        </is>
      </c>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5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26"/>
  <sheetViews>
    <sheetView topLeftCell="A16" zoomScale="70" zoomScaleNormal="70" workbookViewId="0">
      <selection activeCell="H18" sqref="H18"/>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V7.1</t>
        </is>
      </c>
      <c r="B2" s="13" t="inlineStr">
        <is>
          <t>Session Management Documentation</t>
        </is>
      </c>
      <c r="C2" s="13" t="n"/>
      <c r="D2" s="13" t="n"/>
      <c r="E2" s="13" t="n"/>
      <c r="F2" s="13" t="n"/>
      <c r="G2" s="13" t="n"/>
      <c r="H2" s="13" t="n"/>
    </row>
    <row r="3" ht="75" customHeight="1" s="35">
      <c r="A3" s="14" t="inlineStr">
        <is>
          <t>V7.1</t>
        </is>
      </c>
      <c r="B3" s="14" t="inlineStr">
        <is>
          <t>Session Management Documentation</t>
        </is>
      </c>
      <c r="C3" s="15" t="inlineStr">
        <is>
          <t>V7.1.1</t>
        </is>
      </c>
      <c r="D3" s="16"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17" t="n">
        <v>2</v>
      </c>
      <c r="F3" s="39" t="inlineStr">
        <is>
          <t>Partially Compliant</t>
        </is>
      </c>
      <c r="G3" s="16" t="inlineStr">
        <is>
          <t>JWT stateless session validates signature, expiry and role; logout revocation/denylist and refresh-token rotation are pending.</t>
        </is>
      </c>
      <c r="H3" s="16" t="inlineStr">
        <is>
          <t>ghostreport/src/main/java/com/ghostreport/service/JwtService.java; ghostreport/src/test/java/com/ghostreport/security/JwtServiceSecurityTest.java</t>
        </is>
      </c>
    </row>
    <row r="4" ht="60" customHeight="1" s="35">
      <c r="A4" s="19" t="inlineStr">
        <is>
          <t>V7.1</t>
        </is>
      </c>
      <c r="B4" s="19" t="inlineStr">
        <is>
          <t>Session Management Documentation</t>
        </is>
      </c>
      <c r="C4" s="20" t="inlineStr">
        <is>
          <t>V7.1.2</t>
        </is>
      </c>
      <c r="D4" s="21" t="inlineStr">
        <is>
          <t>Verify that the documentation defines how many concurrent (parallel) sessions are allowed for one account as well as the intended behaviors and actions to be taken when the maximum number of active sessions is reached.</t>
        </is>
      </c>
      <c r="E4" s="17" t="n">
        <v>2</v>
      </c>
      <c r="F4" s="39" t="inlineStr">
        <is>
          <t>Partially Compliant</t>
        </is>
      </c>
      <c r="G4" s="21" t="inlineStr">
        <is>
          <t>JWT stateless session validates signature, expiry and role; logout revocation/denylist and refresh-token rotation are pending.</t>
        </is>
      </c>
      <c r="H4" s="21" t="inlineStr">
        <is>
          <t>ghostreport/src/main/java/com/ghostreport/service/JwtService.java; ghostreport/src/test/java/com/ghostreport/security/JwtServiceSecurityTest.java</t>
        </is>
      </c>
    </row>
    <row r="5" ht="75" customHeight="1" s="35">
      <c r="A5" s="14" t="inlineStr">
        <is>
          <t>V7.1</t>
        </is>
      </c>
      <c r="B5" s="14" t="inlineStr">
        <is>
          <t>Session Management Documentation</t>
        </is>
      </c>
      <c r="C5" s="15" t="inlineStr">
        <is>
          <t>V7.1.3</t>
        </is>
      </c>
      <c r="D5" s="16"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17" t="n">
        <v>2</v>
      </c>
      <c r="F5" s="39" t="inlineStr">
        <is>
          <t>Partially Compliant</t>
        </is>
      </c>
      <c r="G5" s="16" t="inlineStr">
        <is>
          <t>JWT stateless session validates signature, expiry and role; logout revocation/denylist and refresh-token rotation are pending.</t>
        </is>
      </c>
      <c r="H5" s="16" t="inlineStr">
        <is>
          <t>ghostreport/src/main/java/com/ghostreport/service/JwtService.java; ghostreport/src/test/java/com/ghostreport/security/JwtServiceSecurityTest.java</t>
        </is>
      </c>
    </row>
    <row r="6" ht="18" customHeight="1" s="35">
      <c r="A6" s="13" t="inlineStr">
        <is>
          <t>V7.2</t>
        </is>
      </c>
      <c r="B6" s="13" t="inlineStr">
        <is>
          <t>Fundamental Session Management Security</t>
        </is>
      </c>
      <c r="C6" s="13" t="n"/>
      <c r="D6" s="13" t="n"/>
      <c r="E6" s="13" t="n"/>
      <c r="F6" s="13" t="n"/>
      <c r="G6" s="13" t="n"/>
      <c r="H6" s="13" t="n"/>
    </row>
    <row r="7" ht="75" customHeight="1" s="35">
      <c r="A7" s="14" t="inlineStr">
        <is>
          <t>V7.2</t>
        </is>
      </c>
      <c r="B7" s="14" t="inlineStr">
        <is>
          <t>Fundamental Session Management Security</t>
        </is>
      </c>
      <c r="C7" s="15" t="inlineStr">
        <is>
          <t>V7.2.1</t>
        </is>
      </c>
      <c r="D7" s="16" t="inlineStr">
        <is>
          <t>Verify that the application performs all session token verification using a trusted, backend service.</t>
        </is>
      </c>
      <c r="E7" s="22" t="n">
        <v>1</v>
      </c>
      <c r="F7" s="40" t="inlineStr">
        <is>
          <t>Compliant</t>
        </is>
      </c>
      <c r="G7" s="16" t="inlineStr">
        <is>
          <t>JWT verification is performed by backend JwtService/JwtAuthenticationFilter.</t>
        </is>
      </c>
      <c r="H7" s="16" t="inlineStr">
        <is>
          <t>ghostreport/src/main/java/com/ghostreport/service/JwtService.java; ghostreport/src/main/java/com/ghostreport/security/JwtAuthenticationFilter.java</t>
        </is>
      </c>
    </row>
    <row r="8" ht="60" customHeight="1" s="35">
      <c r="A8" s="19" t="inlineStr">
        <is>
          <t>V7.2</t>
        </is>
      </c>
      <c r="B8" s="19" t="inlineStr">
        <is>
          <t>Fundamental Session Management Security</t>
        </is>
      </c>
      <c r="C8" s="20" t="inlineStr">
        <is>
          <t>V7.2.2</t>
        </is>
      </c>
      <c r="D8" s="21" t="inlineStr">
        <is>
          <t>Verify that the application uses either self-contained or reference tokens that are dynamically generated for session management, i.e. not using static API secrets and keys.</t>
        </is>
      </c>
      <c r="E8" s="22" t="n">
        <v>1</v>
      </c>
      <c r="F8" s="39" t="inlineStr">
        <is>
          <t>Partially Compliant</t>
        </is>
      </c>
      <c r="G8" s="21" t="inlineStr">
        <is>
          <t>JWT stateless session validates signature, expiry and role; logout revocation/denylist and refresh-token rotation are pending.</t>
        </is>
      </c>
      <c r="H8" s="21" t="inlineStr">
        <is>
          <t>ghostreport/src/main/java/com/ghostreport/service/JwtService.java; ghostreport/src/test/java/com/ghostreport/security/JwtServiceSecurityTest.java</t>
        </is>
      </c>
    </row>
    <row r="9" ht="60" customHeight="1" s="35">
      <c r="A9" s="14" t="inlineStr">
        <is>
          <t>V7.2</t>
        </is>
      </c>
      <c r="B9" s="14" t="inlineStr">
        <is>
          <t>Fundamental Session Management Security</t>
        </is>
      </c>
      <c r="C9" s="15" t="inlineStr">
        <is>
          <t>V7.2.3</t>
        </is>
      </c>
      <c r="D9" s="16" t="inlineStr">
        <is>
          <t>Verify that if reference tokens are used to represent user sessions, they are unique and generated using a cryptographically secure pseudo-random number generator (CSPRNG) and possess at least 128 bits of entropy.</t>
        </is>
      </c>
      <c r="E9" s="22" t="n">
        <v>1</v>
      </c>
      <c r="F9" s="39" t="inlineStr">
        <is>
          <t>Partially Compliant</t>
        </is>
      </c>
      <c r="G9" s="16" t="inlineStr">
        <is>
          <t>JWT stateless session validates signature, expiry and role; logout revocation/denylist and refresh-token rotation are pending.</t>
        </is>
      </c>
      <c r="H9" s="16" t="inlineStr">
        <is>
          <t>ghostreport/src/main/java/com/ghostreport/service/JwtService.java; ghostreport/src/test/java/com/ghostreport/security/JwtServiceSecurityTest.java</t>
        </is>
      </c>
    </row>
    <row r="10" ht="60" customHeight="1" s="35">
      <c r="A10" s="19" t="inlineStr">
        <is>
          <t>V7.2</t>
        </is>
      </c>
      <c r="B10" s="19" t="inlineStr">
        <is>
          <t>Fundamental Session Management Security</t>
        </is>
      </c>
      <c r="C10" s="20" t="inlineStr">
        <is>
          <t>V7.2.4</t>
        </is>
      </c>
      <c r="D10" s="21" t="inlineStr">
        <is>
          <t>Verify that the application generates a new session token on user authentication, including re-authentication, and terminates the current session token.</t>
        </is>
      </c>
      <c r="E10" s="22" t="n">
        <v>1</v>
      </c>
      <c r="F10" s="39" t="inlineStr">
        <is>
          <t>Partially Compliant</t>
        </is>
      </c>
      <c r="G10" s="21" t="inlineStr">
        <is>
          <t>JWT stateless session validates signature, expiry and role; logout revocation/denylist and refresh-token rotation are pending.</t>
        </is>
      </c>
      <c r="H10" s="21" t="inlineStr">
        <is>
          <t>ghostreport/src/main/java/com/ghostreport/service/JwtService.java; ghostreport/src/test/java/com/ghostreport/security/JwtServiceSecurityTest.java</t>
        </is>
      </c>
    </row>
    <row r="11" ht="18" customHeight="1" s="35">
      <c r="A11" s="13" t="inlineStr">
        <is>
          <t>V7.3</t>
        </is>
      </c>
      <c r="B11" s="13" t="inlineStr">
        <is>
          <t>Session Timeout</t>
        </is>
      </c>
      <c r="C11" s="13" t="n"/>
      <c r="D11" s="13" t="n"/>
      <c r="E11" s="13" t="n"/>
      <c r="F11" s="13" t="n"/>
      <c r="G11" s="13" t="n"/>
      <c r="H11" s="13" t="n"/>
    </row>
    <row r="12" ht="45" customHeight="1" s="35">
      <c r="A12" s="14" t="inlineStr">
        <is>
          <t>V7.3</t>
        </is>
      </c>
      <c r="B12" s="14" t="inlineStr">
        <is>
          <t>Session Timeout</t>
        </is>
      </c>
      <c r="C12" s="15" t="inlineStr">
        <is>
          <t>V7.3.1</t>
        </is>
      </c>
      <c r="D12" s="16" t="inlineStr">
        <is>
          <t>Verify that there is an inactivity timeout such that re-authentication is enforced according to risk analysis and documented security decisions.</t>
        </is>
      </c>
      <c r="E12" s="17" t="n">
        <v>2</v>
      </c>
      <c r="F12" s="41" t="inlineStr">
        <is>
          <t>Not Started</t>
        </is>
      </c>
      <c r="G12" s="16" t="inlineStr">
        <is>
          <t>Session inactivity timeout/re-authentication is represented only by JWT expiry; no server-side session policy exists.</t>
        </is>
      </c>
      <c r="H12" s="16" t="inlineStr">
        <is>
          <t>docs/ASVS_EVIDENCE.md</t>
        </is>
      </c>
    </row>
    <row r="13" ht="60" customHeight="1" s="35">
      <c r="A13" s="19" t="inlineStr">
        <is>
          <t>V7.3</t>
        </is>
      </c>
      <c r="B13" s="19" t="inlineStr">
        <is>
          <t>Session Timeout</t>
        </is>
      </c>
      <c r="C13" s="20" t="inlineStr">
        <is>
          <t>V7.3.2</t>
        </is>
      </c>
      <c r="D13" s="21" t="inlineStr">
        <is>
          <t>Verify that there is an absolute maximum session lifetime such that re-authentication is enforced according to risk analysis and documented security decisions.</t>
        </is>
      </c>
      <c r="E13" s="17" t="n">
        <v>2</v>
      </c>
      <c r="F13" s="41" t="inlineStr">
        <is>
          <t>Not Started</t>
        </is>
      </c>
      <c r="G13" s="21" t="inlineStr">
        <is>
          <t>Session inactivity timeout/re-authentication is represented only by JWT expiry; no server-side session policy exists.</t>
        </is>
      </c>
      <c r="H13" s="21" t="inlineStr">
        <is>
          <t>docs/ASVS_EVIDENCE.md</t>
        </is>
      </c>
    </row>
    <row r="14" ht="18" customHeight="1" s="35">
      <c r="A14" s="13" t="inlineStr">
        <is>
          <t>V7.4</t>
        </is>
      </c>
      <c r="B14" s="13" t="inlineStr">
        <is>
          <t>Session Termination</t>
        </is>
      </c>
      <c r="C14" s="13" t="n"/>
      <c r="D14" s="13" t="n"/>
      <c r="E14" s="13" t="n"/>
      <c r="F14" s="13" t="n"/>
      <c r="G14" s="13" t="n"/>
      <c r="H14" s="13" t="n"/>
    </row>
    <row r="15" ht="120" customHeight="1" s="35">
      <c r="A15" s="14" t="inlineStr">
        <is>
          <t>V7.4</t>
        </is>
      </c>
      <c r="B15" s="14" t="inlineStr">
        <is>
          <t>Session Termination</t>
        </is>
      </c>
      <c r="C15" s="15" t="inlineStr">
        <is>
          <t>V7.4.1</t>
        </is>
      </c>
      <c r="D15" s="16"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22" t="n">
        <v>1</v>
      </c>
      <c r="F15" s="41" t="inlineStr">
        <is>
          <t>Not Started</t>
        </is>
      </c>
      <c r="G15" s="16" t="inlineStr">
        <is>
          <t>Server-side token revocation/logout is not implemented yet.</t>
        </is>
      </c>
      <c r="H15" s="16" t="inlineStr">
        <is>
          <t>docs/ASVS_EVIDENCE.md</t>
        </is>
      </c>
    </row>
    <row r="16" ht="75" customHeight="1" s="35">
      <c r="A16" s="19" t="inlineStr">
        <is>
          <t>V7.4</t>
        </is>
      </c>
      <c r="B16" s="19" t="inlineStr">
        <is>
          <t>Session Termination</t>
        </is>
      </c>
      <c r="C16" s="20" t="inlineStr">
        <is>
          <t>V7.4.2</t>
        </is>
      </c>
      <c r="D16" s="21" t="inlineStr">
        <is>
          <t>Verify that the application terminates all active sessions when a user account is disabled or deleted (such as an employee leaving the company).</t>
        </is>
      </c>
      <c r="E16" s="22" t="n">
        <v>1</v>
      </c>
      <c r="F16" s="41" t="inlineStr">
        <is>
          <t>Not Started</t>
        </is>
      </c>
      <c r="G16" s="21" t="inlineStr">
        <is>
          <t>Server-side token revocation/logout is not implemented yet.</t>
        </is>
      </c>
      <c r="H16" s="21" t="inlineStr">
        <is>
          <t>docs/ASVS_EVIDENCE.md</t>
        </is>
      </c>
    </row>
    <row r="17" ht="60" customHeight="1" s="35">
      <c r="A17" s="14" t="inlineStr">
        <is>
          <t>V7.4</t>
        </is>
      </c>
      <c r="B17" s="14" t="inlineStr">
        <is>
          <t>Session Termination</t>
        </is>
      </c>
      <c r="C17" s="15" t="inlineStr">
        <is>
          <t>V7.4.3</t>
        </is>
      </c>
      <c r="D17" s="16" t="inlineStr">
        <is>
          <t>Verify that the application gives the option to terminate all other active sessions after a successful change or removal of any authentication factor (including password change via reset or recovery and, if present, an MFA settings update).</t>
        </is>
      </c>
      <c r="E17" s="17" t="n">
        <v>2</v>
      </c>
      <c r="F17" s="41" t="inlineStr">
        <is>
          <t>Not Started</t>
        </is>
      </c>
      <c r="G17" s="16" t="inlineStr">
        <is>
          <t>Server-side token revocation/logout is not implemented yet.</t>
        </is>
      </c>
      <c r="H17" s="16" t="inlineStr">
        <is>
          <t>docs/ASVS_EVIDENCE.md</t>
        </is>
      </c>
    </row>
    <row r="18" ht="60" customHeight="1" s="35">
      <c r="A18" s="19" t="inlineStr">
        <is>
          <t>V7.4</t>
        </is>
      </c>
      <c r="B18" s="19" t="inlineStr">
        <is>
          <t>Session Termination</t>
        </is>
      </c>
      <c r="C18" s="20" t="inlineStr">
        <is>
          <t>V7.4.4</t>
        </is>
      </c>
      <c r="D18" s="21" t="inlineStr">
        <is>
          <t>Verify that all pages that require authentication have easy and visible access to logout functionality.</t>
        </is>
      </c>
      <c r="E18" s="17" t="n">
        <v>2</v>
      </c>
      <c r="F18" s="41" t="inlineStr">
        <is>
          <t>Not Started</t>
        </is>
      </c>
      <c r="G18" s="21" t="inlineStr">
        <is>
          <t>Server-side token revocation/logout is not implemented yet.</t>
        </is>
      </c>
      <c r="H18" s="21" t="inlineStr">
        <is>
          <t>docs/ASVS_EVIDENCE.md</t>
        </is>
      </c>
    </row>
    <row r="19" ht="45" customHeight="1" s="35">
      <c r="A19" s="14" t="inlineStr">
        <is>
          <t>V7.4</t>
        </is>
      </c>
      <c r="B19" s="14" t="inlineStr">
        <is>
          <t>Session Termination</t>
        </is>
      </c>
      <c r="C19" s="15" t="inlineStr">
        <is>
          <t>V7.4.5</t>
        </is>
      </c>
      <c r="D19" s="16" t="inlineStr">
        <is>
          <t>Verify that application administrators are able to terminate active sessions for an individual user or for all users.</t>
        </is>
      </c>
      <c r="E19" s="17" t="n">
        <v>2</v>
      </c>
      <c r="F19" s="41" t="inlineStr">
        <is>
          <t>Not Started</t>
        </is>
      </c>
      <c r="G19" s="16" t="inlineStr">
        <is>
          <t>Server-side token revocation/logout is not implemented yet.</t>
        </is>
      </c>
      <c r="H19" s="16" t="inlineStr">
        <is>
          <t>docs/ASVS_EVIDENCE.md</t>
        </is>
      </c>
    </row>
    <row r="20" ht="18" customHeight="1" s="35">
      <c r="A20" s="13" t="inlineStr">
        <is>
          <t>V7.5</t>
        </is>
      </c>
      <c r="B20" s="13" t="inlineStr">
        <is>
          <t>Defenses Against Session Abuse</t>
        </is>
      </c>
      <c r="C20" s="13" t="n"/>
      <c r="D20" s="13" t="n"/>
      <c r="E20" s="13" t="n"/>
      <c r="F20" s="13" t="n"/>
      <c r="G20" s="13" t="n"/>
      <c r="H20" s="13" t="n"/>
    </row>
    <row r="21" ht="60" customHeight="1" s="35">
      <c r="A21" s="14" t="inlineStr">
        <is>
          <t>V7.5</t>
        </is>
      </c>
      <c r="B21" s="14" t="inlineStr">
        <is>
          <t>Defenses Against Session Abuse</t>
        </is>
      </c>
      <c r="C21" s="15" t="inlineStr">
        <is>
          <t>V7.5.1</t>
        </is>
      </c>
      <c r="D21" s="16"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17" t="n">
        <v>2</v>
      </c>
      <c r="F21" s="39" t="inlineStr">
        <is>
          <t>Partially Compliant</t>
        </is>
      </c>
      <c r="G21" s="16" t="inlineStr">
        <is>
          <t>JWT stateless session validates signature, expiry and role; logout revocation/denylist and refresh-token rotation are pending.</t>
        </is>
      </c>
      <c r="H21" s="16" t="inlineStr">
        <is>
          <t>ghostreport/src/main/java/com/ghostreport/service/JwtService.java; ghostreport/src/test/java/com/ghostreport/security/JwtServiceSecurityTest.java</t>
        </is>
      </c>
    </row>
    <row r="22" ht="45" customHeight="1" s="35">
      <c r="A22" s="19" t="inlineStr">
        <is>
          <t>V7.5</t>
        </is>
      </c>
      <c r="B22" s="19" t="inlineStr">
        <is>
          <t>Defenses Against Session Abuse</t>
        </is>
      </c>
      <c r="C22" s="20" t="inlineStr">
        <is>
          <t>V7.5.2</t>
        </is>
      </c>
      <c r="D22" s="21" t="inlineStr">
        <is>
          <t>Verify that users are able to view and (having authenticated again with at least one factor) terminate any or all currently active sessions.</t>
        </is>
      </c>
      <c r="E22" s="17" t="n">
        <v>2</v>
      </c>
      <c r="F22" s="39" t="inlineStr">
        <is>
          <t>Partially Compliant</t>
        </is>
      </c>
      <c r="G22" s="21" t="inlineStr">
        <is>
          <t>JWT stateless session validates signature, expiry and role; logout revocation/denylist and refresh-token rotation are pending.</t>
        </is>
      </c>
      <c r="H22" s="21" t="inlineStr">
        <is>
          <t>ghostreport/src/main/java/com/ghostreport/service/JwtService.java; ghostreport/src/test/java/com/ghostreport/security/JwtServiceSecurityTest.java</t>
        </is>
      </c>
    </row>
    <row r="23" ht="45" customHeight="1" s="35">
      <c r="A23" s="14" t="inlineStr">
        <is>
          <t>V7.5</t>
        </is>
      </c>
      <c r="B23" s="14" t="inlineStr">
        <is>
          <t>Defenses Against Session Abuse</t>
        </is>
      </c>
      <c r="C23" s="15" t="inlineStr">
        <is>
          <t>V7.5.3</t>
        </is>
      </c>
      <c r="D23" s="16" t="inlineStr">
        <is>
          <t>Verify that the application requires further authentication with at least one factor or secondary verification before performing highly sensitive transactions or operations.</t>
        </is>
      </c>
      <c r="E23" s="23" t="n">
        <v>3</v>
      </c>
      <c r="F23" s="39" t="inlineStr">
        <is>
          <t>Partially Compliant</t>
        </is>
      </c>
      <c r="G23" s="16" t="inlineStr">
        <is>
          <t>JWT stateless session validates signature, expiry and role; logout revocation/denylist and refresh-token rotation are pending.</t>
        </is>
      </c>
      <c r="H23" s="16" t="inlineStr">
        <is>
          <t>ghostreport/src/main/java/com/ghostreport/service/JwtService.java; ghostreport/src/test/java/com/ghostreport/security/JwtServiceSecurityTest.java</t>
        </is>
      </c>
    </row>
    <row r="24" ht="18" customHeight="1" s="35">
      <c r="A24" s="13" t="inlineStr">
        <is>
          <t>V7.6</t>
        </is>
      </c>
      <c r="B24" s="13" t="inlineStr">
        <is>
          <t>Federated Re-authentication</t>
        </is>
      </c>
      <c r="C24" s="13" t="n"/>
      <c r="D24" s="13" t="n"/>
      <c r="E24" s="13" t="n"/>
      <c r="F24" s="13" t="n"/>
      <c r="G24" s="13" t="n"/>
      <c r="H24" s="13" t="n"/>
    </row>
    <row r="25" ht="75" customHeight="1" s="35">
      <c r="A25" s="14" t="inlineStr">
        <is>
          <t>V7.6</t>
        </is>
      </c>
      <c r="B25" s="14" t="inlineStr">
        <is>
          <t>Federated Re-authentication</t>
        </is>
      </c>
      <c r="C25" s="15" t="inlineStr">
        <is>
          <t>V7.6.1</t>
        </is>
      </c>
      <c r="D25" s="16" t="inlineStr">
        <is>
          <t>Verify that session lifetime and termination between Relying Parties (RPs) and Identity Providers (IdPs) behave as documented, requiring re-authentication as necessary such as when the maximum time between IdP authentication events is reached.</t>
        </is>
      </c>
      <c r="E25" s="17" t="n">
        <v>2</v>
      </c>
      <c r="F25" s="39" t="inlineStr">
        <is>
          <t>Partially Compliant</t>
        </is>
      </c>
      <c r="G25" s="16" t="inlineStr">
        <is>
          <t>JWT stateless session validates signature, expiry and role; logout revocation/denylist and refresh-token rotation are pending.</t>
        </is>
      </c>
      <c r="H25" s="16" t="inlineStr">
        <is>
          <t>ghostreport/src/main/java/com/ghostreport/service/JwtService.java; ghostreport/src/test/java/com/ghostreport/security/JwtServiceSecurityTest.java</t>
        </is>
      </c>
    </row>
    <row r="26" ht="45" customHeight="1" s="35">
      <c r="A26" s="19" t="inlineStr">
        <is>
          <t>V7.6</t>
        </is>
      </c>
      <c r="B26" s="19" t="inlineStr">
        <is>
          <t>Federated Re-authentication</t>
        </is>
      </c>
      <c r="C26" s="20" t="inlineStr">
        <is>
          <t>V7.6.2</t>
        </is>
      </c>
      <c r="D26" s="21" t="inlineStr">
        <is>
          <t>Verify that creation of a session requires either the user's consent or an explicit action, preventing the creation of new application sessions without user interaction.</t>
        </is>
      </c>
      <c r="E26" s="17" t="n">
        <v>2</v>
      </c>
      <c r="F26" s="39" t="inlineStr">
        <is>
          <t>Partially Compliant</t>
        </is>
      </c>
      <c r="G26" s="21" t="inlineStr">
        <is>
          <t>JWT stateless session validates signature, expiry and role; logout revocation/denylist and refresh-token rotation are pending.</t>
        </is>
      </c>
      <c r="H26" s="21" t="inlineStr">
        <is>
          <t>ghostreport/src/main/java/com/ghostreport/service/JwtService.java; ghostreport/src/test/java/com/ghostreport/security/JwtServiceSecurityTest.java</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18"/>
  <sheetViews>
    <sheetView zoomScale="80" zoomScaleNormal="80" workbookViewId="0">
      <selection activeCell="P20" sqref="P20"/>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V8.1</t>
        </is>
      </c>
      <c r="B2" s="13" t="inlineStr">
        <is>
          <t>Authorization Documentation</t>
        </is>
      </c>
      <c r="C2" s="13" t="n"/>
      <c r="D2" s="13" t="n"/>
      <c r="E2" s="13" t="n"/>
      <c r="F2" s="13" t="n"/>
      <c r="G2" s="13" t="n"/>
      <c r="H2" s="13" t="n"/>
    </row>
    <row r="3" ht="89.25" customHeight="1" s="35">
      <c r="A3" s="14" t="inlineStr">
        <is>
          <t>V8.1</t>
        </is>
      </c>
      <c r="B3" s="14" t="inlineStr">
        <is>
          <t>Authorization Documentation</t>
        </is>
      </c>
      <c r="C3" s="15" t="inlineStr">
        <is>
          <t>V8.1.1</t>
        </is>
      </c>
      <c r="D3" s="16" t="inlineStr">
        <is>
          <t>Verify that authorization documentation defines rules for restricting function-level and data-specific access based on consumer permissions and resource attributes.</t>
        </is>
      </c>
      <c r="E3" s="22" t="n">
        <v>1</v>
      </c>
      <c r="F3" s="39" t="inlineStr">
        <is>
          <t>Partially Compliant</t>
        </is>
      </c>
      <c r="G3" s="16" t="inlineStr">
        <is>
          <t>Role-based and ownership authorization are implemented and tested for core flows; field-level policy documentation is incomplete.</t>
        </is>
      </c>
      <c r="H3" s="16" t="inlineStr">
        <is>
          <t>ghostreport/src/main/java/com/ghostreport/security/SecurityConfig.java; ghostreport/src/test/java/com/ghostreport/security/RbacAuthorizationMatrixTest.java</t>
        </is>
      </c>
    </row>
    <row r="4" ht="91.5" customHeight="1" s="35">
      <c r="A4" s="19" t="inlineStr">
        <is>
          <t>V8.1</t>
        </is>
      </c>
      <c r="B4" s="19" t="inlineStr">
        <is>
          <t>Authorization Documentation</t>
        </is>
      </c>
      <c r="C4" s="20" t="inlineStr">
        <is>
          <t>V8.1.2</t>
        </is>
      </c>
      <c r="D4" s="21"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17" t="n">
        <v>2</v>
      </c>
      <c r="F4" s="39" t="inlineStr">
        <is>
          <t>Partially Compliant</t>
        </is>
      </c>
      <c r="G4" s="21" t="inlineStr">
        <is>
          <t>Role-based and ownership authorization are implemented and tested for core flows; field-level policy documentation is incomplete.</t>
        </is>
      </c>
      <c r="H4" s="21" t="inlineStr">
        <is>
          <t>ghostreport/src/main/java/com/ghostreport/security/SecurityConfig.java; ghostreport/src/test/java/com/ghostreport/security/RbacAuthorizationMatrixTest.java</t>
        </is>
      </c>
    </row>
    <row r="5" ht="30" customHeight="1" s="35">
      <c r="A5" s="14" t="inlineStr">
        <is>
          <t>V8.1</t>
        </is>
      </c>
      <c r="B5" s="14" t="inlineStr">
        <is>
          <t>Authorization Documentation</t>
        </is>
      </c>
      <c r="C5" s="15" t="inlineStr">
        <is>
          <t>V8.1.3</t>
        </is>
      </c>
      <c r="D5" s="16"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23" t="n">
        <v>3</v>
      </c>
      <c r="F5" s="39" t="inlineStr">
        <is>
          <t>Partially Compliant</t>
        </is>
      </c>
      <c r="G5" s="16" t="inlineStr">
        <is>
          <t>Role-based and ownership authorization are implemented and tested for core flows; field-level policy documentation is incomplete.</t>
        </is>
      </c>
      <c r="H5" s="16" t="inlineStr">
        <is>
          <t>ghostreport/src/main/java/com/ghostreport/security/SecurityConfig.java; ghostreport/src/test/java/com/ghostreport/security/RbacAuthorizationMatrixTest.java</t>
        </is>
      </c>
    </row>
    <row r="6" ht="30" customHeight="1" s="35">
      <c r="A6" s="19" t="inlineStr">
        <is>
          <t>V8.1</t>
        </is>
      </c>
      <c r="B6" s="19" t="inlineStr">
        <is>
          <t>Authorization Documentation</t>
        </is>
      </c>
      <c r="C6" s="20" t="inlineStr">
        <is>
          <t>V8.1.4</t>
        </is>
      </c>
      <c r="D6" s="21"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23" t="n">
        <v>3</v>
      </c>
      <c r="F6" s="39" t="inlineStr">
        <is>
          <t>Partially Compliant</t>
        </is>
      </c>
      <c r="G6" s="21" t="inlineStr">
        <is>
          <t>Role-based and ownership authorization are implemented and tested for core flows; field-level policy documentation is incomplete.</t>
        </is>
      </c>
      <c r="H6" s="21" t="inlineStr">
        <is>
          <t>ghostreport/src/main/java/com/ghostreport/security/SecurityConfig.java; ghostreport/src/test/java/com/ghostreport/security/RbacAuthorizationMatrixTest.java</t>
        </is>
      </c>
    </row>
    <row r="7" ht="18" customHeight="1" s="35">
      <c r="A7" s="13" t="inlineStr">
        <is>
          <t>V8.2</t>
        </is>
      </c>
      <c r="B7" s="13" t="inlineStr">
        <is>
          <t>General Authorization Design</t>
        </is>
      </c>
      <c r="C7" s="13" t="n"/>
      <c r="D7" s="13" t="n"/>
      <c r="E7" s="13" t="n"/>
      <c r="F7" s="13" t="n"/>
      <c r="G7" s="13" t="n"/>
      <c r="H7" s="13" t="n"/>
    </row>
    <row r="8" ht="78" customHeight="1" s="35">
      <c r="A8" s="14" t="inlineStr">
        <is>
          <t>V8.2</t>
        </is>
      </c>
      <c r="B8" s="14" t="inlineStr">
        <is>
          <t>General Authorization Design</t>
        </is>
      </c>
      <c r="C8" s="15" t="inlineStr">
        <is>
          <t>V8.2.1</t>
        </is>
      </c>
      <c r="D8" s="16" t="inlineStr">
        <is>
          <t>Verify that the application ensures that function-level access is restricted to consumers with explicit permissions.</t>
        </is>
      </c>
      <c r="E8" s="22" t="n">
        <v>1</v>
      </c>
      <c r="F8" s="40" t="inlineStr">
        <is>
          <t>Compliant</t>
        </is>
      </c>
      <c r="G8" s="16" t="inlineStr">
        <is>
          <t>Function-level access is restricted by Spring Security role rules and RBAC tests.</t>
        </is>
      </c>
      <c r="H8" s="16" t="inlineStr">
        <is>
          <t>ghostreport/src/main/java/com/ghostreport/security/SecurityConfig.java; ghostreport/src/test/java/com/ghostreport/security/RbacAuthorizationMatrixTest.java</t>
        </is>
      </c>
    </row>
    <row r="9" ht="105" customHeight="1" s="35">
      <c r="A9" s="19" t="inlineStr">
        <is>
          <t>V8.2</t>
        </is>
      </c>
      <c r="B9" s="19" t="inlineStr">
        <is>
          <t>General Authorization Design</t>
        </is>
      </c>
      <c r="C9" s="20" t="inlineStr">
        <is>
          <t>V8.2.2</t>
        </is>
      </c>
      <c r="D9" s="21" t="inlineStr">
        <is>
          <t>Verify that the application ensures that data-specific access is restricted to consumers with explicit permissions to specific data items to mitigate insecure direct object reference (IDOR) and broken object level authorization (BOLA).</t>
        </is>
      </c>
      <c r="E9" s="22" t="n">
        <v>1</v>
      </c>
      <c r="F9" s="40" t="inlineStr">
        <is>
          <t>Compliant</t>
        </is>
      </c>
      <c r="G9" s="21" t="inlineStr">
        <is>
          <t>Core object-level access is tested for analyst ownership and auditor/admin boundaries.</t>
        </is>
      </c>
      <c r="H9" s="21" t="inlineStr">
        <is>
          <t>ghostreport/src/test/java/com/ghostreport/security/AnalystCaseOwnershipTest.java; ghostreport/src/test/java/com/ghostreport/security/AuditorAuthorizationTest.java</t>
        </is>
      </c>
    </row>
    <row r="10" ht="89.25" customHeight="1" s="35">
      <c r="A10" s="14" t="inlineStr">
        <is>
          <t>V8.2</t>
        </is>
      </c>
      <c r="B10" s="14" t="inlineStr">
        <is>
          <t>General Authorization Design</t>
        </is>
      </c>
      <c r="C10" s="15" t="inlineStr">
        <is>
          <t>V8.2.3</t>
        </is>
      </c>
      <c r="D10" s="16" t="inlineStr">
        <is>
          <t>Verify that the application ensures that field-level access is restricted to consumers with explicit permissions to specific fields to mitigate broken object property level authorization (BOPLA).</t>
        </is>
      </c>
      <c r="E10" s="17" t="n">
        <v>2</v>
      </c>
      <c r="F10" s="39" t="inlineStr">
        <is>
          <t>Partially Compliant</t>
        </is>
      </c>
      <c r="G10" s="16" t="inlineStr">
        <is>
          <t>Role-based and ownership authorization are implemented and tested for core flows; field-level policy documentation is incomplete.</t>
        </is>
      </c>
      <c r="H10" s="16" t="inlineStr">
        <is>
          <t>ghostreport/src/main/java/com/ghostreport/security/SecurityConfig.java; ghostreport/src/test/java/com/ghostreport/security/RbacAuthorizationMatrixTest.java</t>
        </is>
      </c>
    </row>
    <row r="11" ht="30" customHeight="1" s="35">
      <c r="A11" s="19" t="inlineStr">
        <is>
          <t>V8.2</t>
        </is>
      </c>
      <c r="B11" s="19" t="inlineStr">
        <is>
          <t>General Authorization Design</t>
        </is>
      </c>
      <c r="C11" s="20" t="inlineStr">
        <is>
          <t>V8.2.4</t>
        </is>
      </c>
      <c r="D11" s="21"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23" t="n">
        <v>3</v>
      </c>
      <c r="F11" s="39" t="inlineStr">
        <is>
          <t>Partially Compliant</t>
        </is>
      </c>
      <c r="G11" s="21" t="inlineStr">
        <is>
          <t>Role-based and ownership authorization are implemented and tested for core flows; field-level policy documentation is incomplete.</t>
        </is>
      </c>
      <c r="H11" s="21" t="inlineStr">
        <is>
          <t>ghostreport/src/main/java/com/ghostreport/security/SecurityConfig.java; ghostreport/src/test/java/com/ghostreport/security/RbacAuthorizationMatrixTest.java</t>
        </is>
      </c>
    </row>
    <row r="12" ht="18" customHeight="1" s="35">
      <c r="A12" s="13" t="inlineStr">
        <is>
          <t>V8.3</t>
        </is>
      </c>
      <c r="B12" s="13" t="inlineStr">
        <is>
          <t>Operation Level Authorization</t>
        </is>
      </c>
      <c r="C12" s="13" t="n"/>
      <c r="D12" s="13" t="n"/>
      <c r="E12" s="13" t="n"/>
      <c r="F12" s="13" t="n"/>
      <c r="G12" s="13" t="n"/>
      <c r="H12" s="13" t="n"/>
    </row>
    <row r="13" ht="75" customHeight="1" s="35">
      <c r="A13" s="14" t="inlineStr">
        <is>
          <t>V8.3</t>
        </is>
      </c>
      <c r="B13" s="14" t="inlineStr">
        <is>
          <t>Operation Level Authorization</t>
        </is>
      </c>
      <c r="C13" s="15" t="inlineStr">
        <is>
          <t>V8.3.1</t>
        </is>
      </c>
      <c r="D13" s="16" t="inlineStr">
        <is>
          <t>Verify that the application enforces authorization rules at a trusted service layer and doesn't rely on controls that an untrusted consumer could manipulate, such as client-side JavaScript.</t>
        </is>
      </c>
      <c r="E13" s="22" t="n">
        <v>1</v>
      </c>
      <c r="F13" s="39" t="inlineStr">
        <is>
          <t>Partially Compliant</t>
        </is>
      </c>
      <c r="G13" s="16" t="inlineStr">
        <is>
          <t>Role-based and ownership authorization are implemented and tested for core flows; field-level policy documentation is incomplete.</t>
        </is>
      </c>
      <c r="H13" s="16" t="inlineStr">
        <is>
          <t>ghostreport/src/main/java/com/ghostreport/security/SecurityConfig.java; ghostreport/src/test/java/com/ghostreport/security/RbacAuthorizationMatrixTest.java</t>
        </is>
      </c>
    </row>
    <row r="14" ht="105" customHeight="1" s="35">
      <c r="A14" s="19" t="inlineStr">
        <is>
          <t>V8.3</t>
        </is>
      </c>
      <c r="B14" s="19" t="inlineStr">
        <is>
          <t>Operation Level Authorization</t>
        </is>
      </c>
      <c r="C14" s="20" t="inlineStr">
        <is>
          <t>V8.3.2</t>
        </is>
      </c>
      <c r="D14" s="21"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23" t="n">
        <v>3</v>
      </c>
      <c r="F14" s="39" t="inlineStr">
        <is>
          <t>Partially Compliant</t>
        </is>
      </c>
      <c r="G14" s="21" t="inlineStr">
        <is>
          <t>Role-based and ownership authorization are implemented and tested for core flows; field-level policy documentation is incomplete.</t>
        </is>
      </c>
      <c r="H14" s="21" t="inlineStr">
        <is>
          <t>ghostreport/src/main/java/com/ghostreport/security/SecurityConfig.java; ghostreport/src/test/java/com/ghostreport/security/RbacAuthorizationMatrixTest.java</t>
        </is>
      </c>
    </row>
    <row r="15" ht="120" customHeight="1" s="35">
      <c r="A15" s="14" t="inlineStr">
        <is>
          <t>V8.3</t>
        </is>
      </c>
      <c r="B15" s="14" t="inlineStr">
        <is>
          <t>Operation Level Authorization</t>
        </is>
      </c>
      <c r="C15" s="15" t="inlineStr">
        <is>
          <t>V8.3.3</t>
        </is>
      </c>
      <c r="D15" s="16"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23" t="n">
        <v>3</v>
      </c>
      <c r="F15" s="39" t="inlineStr">
        <is>
          <t>Partially Compliant</t>
        </is>
      </c>
      <c r="G15" s="16" t="inlineStr">
        <is>
          <t>Role-based and ownership authorization are implemented and tested for core flows; field-level policy documentation is incomplete.</t>
        </is>
      </c>
      <c r="H15" s="16" t="inlineStr">
        <is>
          <t>ghostreport/src/main/java/com/ghostreport/security/SecurityConfig.java; ghostreport/src/test/java/com/ghostreport/security/RbacAuthorizationMatrixTest.java</t>
        </is>
      </c>
    </row>
    <row r="16" ht="18" customHeight="1" s="35">
      <c r="A16" s="13" t="inlineStr">
        <is>
          <t>V8.4</t>
        </is>
      </c>
      <c r="B16" s="13" t="inlineStr">
        <is>
          <t>Other Authorization Considerations</t>
        </is>
      </c>
      <c r="C16" s="13" t="n"/>
      <c r="D16" s="13" t="n"/>
      <c r="E16" s="13" t="n"/>
      <c r="F16" s="13" t="n"/>
      <c r="G16" s="13" t="n"/>
      <c r="H16" s="13" t="n"/>
    </row>
    <row r="17" ht="30" customHeight="1" s="35">
      <c r="A17" s="14" t="inlineStr">
        <is>
          <t>V8.4</t>
        </is>
      </c>
      <c r="B17" s="14" t="inlineStr">
        <is>
          <t>Other Authorization Considerations</t>
        </is>
      </c>
      <c r="C17" s="15" t="inlineStr">
        <is>
          <t>V8.4.1</t>
        </is>
      </c>
      <c r="D17" s="16" t="inlineStr">
        <is>
          <t>Verify that multi-tenant applications use cross-tenant controls to ensure consumer operations will never affect tenants with which they do not have permissions to interact.</t>
        </is>
      </c>
      <c r="E17" s="17" t="n">
        <v>2</v>
      </c>
      <c r="F17" s="39" t="inlineStr">
        <is>
          <t>Partially Compliant</t>
        </is>
      </c>
      <c r="G17" s="16" t="inlineStr">
        <is>
          <t>Role-based and ownership authorization are implemented and tested for core flows; field-level policy documentation is incomplete.</t>
        </is>
      </c>
      <c r="H17" s="16" t="inlineStr">
        <is>
          <t>ghostreport/src/main/java/com/ghostreport/security/SecurityConfig.java; ghostreport/src/test/java/com/ghostreport/security/RbacAuthorizationMatrixTest.java</t>
        </is>
      </c>
    </row>
    <row r="18" ht="90" customHeight="1" s="35">
      <c r="A18" s="19" t="inlineStr">
        <is>
          <t>V8.4</t>
        </is>
      </c>
      <c r="B18" s="19" t="inlineStr">
        <is>
          <t>Other Authorization Considerations</t>
        </is>
      </c>
      <c r="C18" s="20" t="inlineStr">
        <is>
          <t>V8.4.2</t>
        </is>
      </c>
      <c r="D18" s="21"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23" t="n">
        <v>3</v>
      </c>
      <c r="F18" s="39" t="inlineStr">
        <is>
          <t>Partially Compliant</t>
        </is>
      </c>
      <c r="G18" s="21" t="inlineStr">
        <is>
          <t>Role-based and ownership authorization are implemented and tested for core flows; field-level policy documentation is incomplete.</t>
        </is>
      </c>
      <c r="H18" s="21" t="inlineStr">
        <is>
          <t>ghostreport/src/main/java/com/ghostreport/security/SecurityConfig.java; ghostreport/src/test/java/com/ghostreport/security/RbacAuthorizationMatrixTest.java</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0"/>
  <sheetViews>
    <sheetView topLeftCell="A3" workbookViewId="0">
      <selection activeCell="H9" sqref="H9:H10"/>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V9.1</t>
        </is>
      </c>
      <c r="B2" s="13" t="inlineStr">
        <is>
          <t>Token source and integrity</t>
        </is>
      </c>
      <c r="C2" s="13" t="n"/>
      <c r="D2" s="13" t="n"/>
      <c r="E2" s="13" t="n"/>
      <c r="F2" s="13" t="n"/>
      <c r="G2" s="13" t="n"/>
      <c r="H2" s="13" t="n"/>
    </row>
    <row r="3" ht="90" customHeight="1" s="35">
      <c r="A3" s="14" t="inlineStr">
        <is>
          <t>V9.1</t>
        </is>
      </c>
      <c r="B3" s="14" t="inlineStr">
        <is>
          <t>Token source and integrity</t>
        </is>
      </c>
      <c r="C3" s="15" t="inlineStr">
        <is>
          <t>V9.1.1</t>
        </is>
      </c>
      <c r="D3" s="16" t="inlineStr">
        <is>
          <t>Verify that self-contained tokens are validated using their digital signature or MAC to protect against tampering before accepting the token's contents.</t>
        </is>
      </c>
      <c r="E3" s="22" t="n">
        <v>1</v>
      </c>
      <c r="F3" s="40" t="inlineStr">
        <is>
          <t>Compliant</t>
        </is>
      </c>
      <c r="G3" s="16" t="inlineStr">
        <is>
          <t>JWT signature/MAC is verified before accepting claims.</t>
        </is>
      </c>
      <c r="H3" s="16" t="inlineStr">
        <is>
          <t>ghostreport/src/main/java/com/ghostreport/service/JwtService.java; ghostreport/src/test/java/com/ghostreport/security/JwtServiceSecurityTest.java</t>
        </is>
      </c>
    </row>
    <row r="4" ht="105" customHeight="1" s="35">
      <c r="A4" s="19" t="inlineStr">
        <is>
          <t>V9.1</t>
        </is>
      </c>
      <c r="B4" s="19" t="inlineStr">
        <is>
          <t>Token source and integrity</t>
        </is>
      </c>
      <c r="C4" s="20" t="inlineStr">
        <is>
          <t>V9.1.2</t>
        </is>
      </c>
      <c r="D4" s="21"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22" t="n">
        <v>1</v>
      </c>
      <c r="F4" s="40" t="inlineStr">
        <is>
          <t>Compliant</t>
        </is>
      </c>
      <c r="G4" s="16" t="inlineStr">
        <is>
          <t>JWT header is restricted to HS256/JWT and none/other algorithms are rejected.</t>
        </is>
      </c>
      <c r="H4" s="16" t="inlineStr">
        <is>
          <t>ghostreport/src/main/java/com/ghostreport/service/JwtService.java</t>
        </is>
      </c>
    </row>
    <row r="5" ht="90" customHeight="1" s="35">
      <c r="A5" s="14" t="inlineStr">
        <is>
          <t>V9.1</t>
        </is>
      </c>
      <c r="B5" s="14" t="inlineStr">
        <is>
          <t>Token source and integrity</t>
        </is>
      </c>
      <c r="C5" s="15" t="inlineStr">
        <is>
          <t>V9.1.3</t>
        </is>
      </c>
      <c r="D5" s="16"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22" t="n">
        <v>1</v>
      </c>
      <c r="F5" s="39" t="inlineStr">
        <is>
          <t>Partially Compliant</t>
        </is>
      </c>
      <c r="G5" s="16" t="inlineStr">
        <is>
          <t>JWT MAC, HS256 allowlist and exp validation exist; issuer/audience claims, key rotation and token denylist are pending.</t>
        </is>
      </c>
      <c r="H5" s="16" t="inlineStr">
        <is>
          <t>ghostreport/src/main/java/com/ghostreport/service/JwtService.java; ghostreport/src/test/java/com/ghostreport/security/JwtServiceSecurityTest.java</t>
        </is>
      </c>
    </row>
    <row r="6" ht="18" customHeight="1" s="35">
      <c r="A6" s="13" t="inlineStr">
        <is>
          <t>V9.2</t>
        </is>
      </c>
      <c r="B6" s="13" t="inlineStr">
        <is>
          <t>Token content</t>
        </is>
      </c>
      <c r="C6" s="13" t="n"/>
      <c r="D6" s="13" t="n"/>
      <c r="E6" s="13" t="n"/>
      <c r="F6" s="13" t="n"/>
      <c r="G6" s="13" t="n"/>
      <c r="H6" s="13" t="n"/>
    </row>
    <row r="7" ht="60" customHeight="1" s="35">
      <c r="A7" s="14" t="inlineStr">
        <is>
          <t>V9.2</t>
        </is>
      </c>
      <c r="B7" s="14" t="inlineStr">
        <is>
          <t>Token content</t>
        </is>
      </c>
      <c r="C7" s="15" t="inlineStr">
        <is>
          <t>V9.2.1</t>
        </is>
      </c>
      <c r="D7" s="16" t="inlineStr">
        <is>
          <t>Verify that, if a validity time span is present in the token data, the token and its content are accepted only if the verification time is within this validity time span. For example, for JWTs, the claims 'nbf' and 'exp' must be verified.</t>
        </is>
      </c>
      <c r="E7" s="22" t="n">
        <v>1</v>
      </c>
      <c r="F7" s="40" t="inlineStr">
        <is>
          <t>Compliant</t>
        </is>
      </c>
      <c r="G7" s="16" t="inlineStr">
        <is>
          <t>JWT exp claim is enforced by JwtService and tested.</t>
        </is>
      </c>
      <c r="H7" s="16" t="inlineStr">
        <is>
          <t>ghostreport/src/main/java/com/ghostreport/service/JwtService.java; ghostreport/src/test/java/com/ghostreport/security/JwtServiceSecurityTest.java</t>
        </is>
      </c>
    </row>
    <row r="8" ht="75" customHeight="1" s="35">
      <c r="A8" s="19" t="inlineStr">
        <is>
          <t>V9.2</t>
        </is>
      </c>
      <c r="B8" s="19" t="inlineStr">
        <is>
          <t>Token content</t>
        </is>
      </c>
      <c r="C8" s="20" t="inlineStr">
        <is>
          <t>V9.2.2</t>
        </is>
      </c>
      <c r="D8" s="21"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17" t="n">
        <v>2</v>
      </c>
      <c r="F8" s="39" t="inlineStr">
        <is>
          <t>Partially Compliant</t>
        </is>
      </c>
      <c r="G8" s="16" t="inlineStr">
        <is>
          <t>JWT MAC, HS256 allowlist and exp validation exist; issuer/audience claims, key rotation and token denylist are pending.</t>
        </is>
      </c>
      <c r="H8" s="16" t="inlineStr">
        <is>
          <t>ghostreport/src/main/java/com/ghostreport/service/JwtService.java; ghostreport/src/test/java/com/ghostreport/security/JwtServiceSecurityTest.java</t>
        </is>
      </c>
    </row>
    <row r="9" ht="60" customHeight="1" s="35">
      <c r="A9" s="14" t="inlineStr">
        <is>
          <t>V9.2</t>
        </is>
      </c>
      <c r="B9" s="14" t="inlineStr">
        <is>
          <t>Token content</t>
        </is>
      </c>
      <c r="C9" s="15" t="inlineStr">
        <is>
          <t>V9.2.3</t>
        </is>
      </c>
      <c r="D9" s="16" t="inlineStr">
        <is>
          <t>Verify that the service only accepts tokens which are intended for use with that service (audience). For JWTs, this can be achieved by validating the 'aud' claim against an allowlist defined in the service.</t>
        </is>
      </c>
      <c r="E9" s="17" t="n">
        <v>2</v>
      </c>
      <c r="F9" s="39" t="inlineStr">
        <is>
          <t>Partially Compliant</t>
        </is>
      </c>
      <c r="G9" s="16" t="inlineStr">
        <is>
          <t>JWT MAC, HS256 allowlist and exp validation exist; issuer/audience claims, key rotation and token denylist are pending.</t>
        </is>
      </c>
      <c r="H9" s="16" t="inlineStr">
        <is>
          <t>ghostreport/src/main/java/com/ghostreport/service/JwtService.java; ghostreport/src/test/java/com/ghostreport/security/JwtServiceSecurityTest.java</t>
        </is>
      </c>
    </row>
    <row r="10" ht="30" customHeight="1" s="35">
      <c r="A10" s="19" t="inlineStr">
        <is>
          <t>V9.2</t>
        </is>
      </c>
      <c r="B10" s="19" t="inlineStr">
        <is>
          <t>Token content</t>
        </is>
      </c>
      <c r="C10" s="20" t="inlineStr">
        <is>
          <t>V9.2.4</t>
        </is>
      </c>
      <c r="D10" s="21"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17" t="n">
        <v>2</v>
      </c>
      <c r="F10" s="39" t="inlineStr">
        <is>
          <t>Partially Compliant</t>
        </is>
      </c>
      <c r="G10" s="16" t="inlineStr">
        <is>
          <t>JWT MAC, HS256 allowlist and exp validation exist; issuer/audience claims, key rotation and token denylist are pending.</t>
        </is>
      </c>
      <c r="H10" s="16" t="inlineStr">
        <is>
          <t>ghostreport/src/main/java/com/ghostreport/service/JwtService.java; ghostreport/src/test/java/com/ghostreport/security/JwtServiceSecurityTest.java</t>
        </is>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0"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44"/>
  <sheetViews>
    <sheetView topLeftCell="A48" zoomScale="70" zoomScaleNormal="70" workbookViewId="0">
      <selection activeCell="A1" sqref="A1:H44"/>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V10.1</t>
        </is>
      </c>
      <c r="B2" s="13" t="inlineStr">
        <is>
          <t>Generic OAuth and OIDC Security</t>
        </is>
      </c>
      <c r="C2" s="13" t="n"/>
      <c r="D2" s="13" t="n"/>
      <c r="E2" s="13" t="n"/>
      <c r="F2" s="13" t="n"/>
      <c r="G2" s="13" t="n"/>
      <c r="H2" s="13" t="n"/>
    </row>
    <row r="3" ht="60" customHeight="1" s="35">
      <c r="A3" s="14" t="inlineStr">
        <is>
          <t>V10.1</t>
        </is>
      </c>
      <c r="B3" s="14" t="inlineStr">
        <is>
          <t>Generic OAuth and OIDC Security</t>
        </is>
      </c>
      <c r="C3" s="15" t="inlineStr">
        <is>
          <t>V10.1.1</t>
        </is>
      </c>
      <c r="D3" s="16" t="inlineStr">
        <is>
          <t>Verify that tokens are only sent to components that strictly need them. For example, when using a backend-for-frontend pattern for browser-based JavaScript applications, access and refresh tokens shall only be accessible for the backend.</t>
        </is>
      </c>
      <c r="E3" s="17" t="n">
        <v>2</v>
      </c>
      <c r="F3" s="42" t="inlineStr">
        <is>
          <t>Not Applicable</t>
        </is>
      </c>
      <c r="G3" s="16" t="inlineStr">
        <is>
          <t>GhostReport does not implement OAuth/OIDC, an external identity provider, authorization-code flow, PKCE, token exchange or OIDC discovery.</t>
        </is>
      </c>
      <c r="H3" s="16" t="inlineStr">
        <is>
          <t>docs/ASVS_EVIDENCE.md</t>
        </is>
      </c>
    </row>
    <row r="4" ht="135" customHeight="1" s="35">
      <c r="A4" s="19" t="inlineStr">
        <is>
          <t>V10.1</t>
        </is>
      </c>
      <c r="B4" s="19" t="inlineStr">
        <is>
          <t>Generic OAuth and OIDC Security</t>
        </is>
      </c>
      <c r="C4" s="20" t="inlineStr">
        <is>
          <t>V10.1.2</t>
        </is>
      </c>
      <c r="D4" s="21"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17" t="n">
        <v>2</v>
      </c>
      <c r="F4" s="42" t="inlineStr">
        <is>
          <t>Not Applicable</t>
        </is>
      </c>
      <c r="G4" s="16" t="inlineStr">
        <is>
          <t>GhostReport does not implement OAuth/OIDC, an external identity provider, authorization-code flow, PKCE, token exchange or OIDC discovery.</t>
        </is>
      </c>
      <c r="H4" s="21" t="inlineStr">
        <is>
          <t>docs/ASVS_EVIDENCE.md</t>
        </is>
      </c>
    </row>
    <row r="5" ht="18" customHeight="1" s="35">
      <c r="A5" s="13" t="inlineStr">
        <is>
          <t>V10.2</t>
        </is>
      </c>
      <c r="B5" s="13" t="inlineStr">
        <is>
          <t>OAuth Client</t>
        </is>
      </c>
      <c r="C5" s="13" t="n"/>
      <c r="D5" s="13" t="n"/>
      <c r="E5" s="13" t="n"/>
      <c r="F5" s="13" t="n"/>
      <c r="G5" s="13" t="n"/>
      <c r="H5" s="13" t="n"/>
    </row>
    <row r="6" ht="90" customHeight="1" s="35">
      <c r="A6" s="14" t="inlineStr">
        <is>
          <t>V10.2</t>
        </is>
      </c>
      <c r="B6" s="14" t="inlineStr">
        <is>
          <t>OAuth Client</t>
        </is>
      </c>
      <c r="C6" s="15" t="inlineStr">
        <is>
          <t>V10.2.1</t>
        </is>
      </c>
      <c r="D6" s="16"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17" t="n">
        <v>2</v>
      </c>
      <c r="F6" s="42" t="inlineStr">
        <is>
          <t>Not Applicable</t>
        </is>
      </c>
      <c r="G6" s="16" t="inlineStr">
        <is>
          <t>GhostReport does not implement OAuth/OIDC, an external identity provider, authorization-code flow, PKCE, token exchange or OIDC discovery.</t>
        </is>
      </c>
      <c r="H6" s="16" t="inlineStr">
        <is>
          <t>docs/ASVS_EVIDENCE.md</t>
        </is>
      </c>
    </row>
    <row r="7" ht="75" customHeight="1" s="35">
      <c r="A7" s="19" t="inlineStr">
        <is>
          <t>V10.2</t>
        </is>
      </c>
      <c r="B7" s="19" t="inlineStr">
        <is>
          <t>OAuth Client</t>
        </is>
      </c>
      <c r="C7" s="20" t="inlineStr">
        <is>
          <t>V10.2.2</t>
        </is>
      </c>
      <c r="D7" s="21"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17" t="n">
        <v>2</v>
      </c>
      <c r="F7" s="42" t="inlineStr">
        <is>
          <t>Not Applicable</t>
        </is>
      </c>
      <c r="G7" s="16" t="inlineStr">
        <is>
          <t>GhostReport does not implement OAuth/OIDC, an external identity provider, authorization-code flow, PKCE, token exchange or OIDC discovery.</t>
        </is>
      </c>
      <c r="H7" s="21" t="inlineStr">
        <is>
          <t>docs/ASVS_EVIDENCE.md</t>
        </is>
      </c>
    </row>
    <row r="8" ht="60" customHeight="1" s="35">
      <c r="A8" s="14" t="inlineStr">
        <is>
          <t>V10.2</t>
        </is>
      </c>
      <c r="B8" s="14" t="inlineStr">
        <is>
          <t>OAuth Client</t>
        </is>
      </c>
      <c r="C8" s="15" t="inlineStr">
        <is>
          <t>V10.2.3</t>
        </is>
      </c>
      <c r="D8" s="16" t="inlineStr">
        <is>
          <t>Verify that the OAuth client only requests the required scopes (or other authorization parameters) in requests to the authorization server.</t>
        </is>
      </c>
      <c r="E8" s="23" t="n">
        <v>3</v>
      </c>
      <c r="F8" s="42" t="inlineStr">
        <is>
          <t>Not Applicable</t>
        </is>
      </c>
      <c r="G8" s="16" t="inlineStr">
        <is>
          <t>GhostReport does not implement OAuth/OIDC, an external identity provider, authorization-code flow, PKCE, token exchange or OIDC discovery.</t>
        </is>
      </c>
      <c r="H8" s="16" t="inlineStr">
        <is>
          <t>docs/ASVS_EVIDENCE.md</t>
        </is>
      </c>
    </row>
    <row r="9" ht="18" customHeight="1" s="35">
      <c r="A9" s="13" t="inlineStr">
        <is>
          <t>V10.3</t>
        </is>
      </c>
      <c r="B9" s="13" t="inlineStr">
        <is>
          <t>OAuth Resource Server</t>
        </is>
      </c>
      <c r="C9" s="13" t="n"/>
      <c r="D9" s="13" t="n"/>
      <c r="E9" s="13" t="n"/>
      <c r="F9" s="13" t="n"/>
      <c r="G9" s="13" t="n"/>
      <c r="H9" s="13" t="n"/>
    </row>
    <row r="10" ht="75" customHeight="1" s="35">
      <c r="A10" s="14" t="inlineStr">
        <is>
          <t>V10.3</t>
        </is>
      </c>
      <c r="B10" s="14" t="inlineStr">
        <is>
          <t>OAuth Resource Server</t>
        </is>
      </c>
      <c r="C10" s="15" t="inlineStr">
        <is>
          <t>V10.3.1</t>
        </is>
      </c>
      <c r="D10" s="16"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17" t="n">
        <v>2</v>
      </c>
      <c r="F10" s="42" t="inlineStr">
        <is>
          <t>Not Applicable</t>
        </is>
      </c>
      <c r="G10" s="16" t="inlineStr">
        <is>
          <t>GhostReport does not implement OAuth/OIDC, an external identity provider, authorization-code flow, PKCE, token exchange or OIDC discovery.</t>
        </is>
      </c>
      <c r="H10" s="16" t="inlineStr">
        <is>
          <t>docs/ASVS_EVIDENCE.md</t>
        </is>
      </c>
    </row>
    <row r="11" ht="75" customHeight="1" s="35">
      <c r="A11" s="19" t="inlineStr">
        <is>
          <t>V10.3</t>
        </is>
      </c>
      <c r="B11" s="19" t="inlineStr">
        <is>
          <t>OAuth Resource Server</t>
        </is>
      </c>
      <c r="C11" s="20" t="inlineStr">
        <is>
          <t>V10.3.2</t>
        </is>
      </c>
      <c r="D11" s="21" t="inlineStr">
        <is>
          <t>Verify that the resource server enforces authorization decisions based on claims from the access token that define delegated authorization. If claims such as 'sub', 'scope', and 'authorization_details' are present, they must be part of the decision.</t>
        </is>
      </c>
      <c r="E11" s="17" t="n">
        <v>2</v>
      </c>
      <c r="F11" s="42" t="inlineStr">
        <is>
          <t>Not Applicable</t>
        </is>
      </c>
      <c r="G11" s="16" t="inlineStr">
        <is>
          <t>GhostReport does not implement OAuth/OIDC, an external identity provider, authorization-code flow, PKCE, token exchange or OIDC discovery.</t>
        </is>
      </c>
      <c r="H11" s="21" t="inlineStr">
        <is>
          <t>docs/ASVS_EVIDENCE.md</t>
        </is>
      </c>
    </row>
    <row r="12" ht="75" customHeight="1" s="35">
      <c r="A12" s="14" t="inlineStr">
        <is>
          <t>V10.3</t>
        </is>
      </c>
      <c r="B12" s="14" t="inlineStr">
        <is>
          <t>OAuth Resource Server</t>
        </is>
      </c>
      <c r="C12" s="15" t="inlineStr">
        <is>
          <t>V10.3.3</t>
        </is>
      </c>
      <c r="D12" s="16"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17" t="n">
        <v>2</v>
      </c>
      <c r="F12" s="42" t="inlineStr">
        <is>
          <t>Not Applicable</t>
        </is>
      </c>
      <c r="G12" s="16" t="inlineStr">
        <is>
          <t>GhostReport does not implement OAuth/OIDC, an external identity provider, authorization-code flow, PKCE, token exchange or OIDC discovery.</t>
        </is>
      </c>
      <c r="H12" s="16" t="inlineStr">
        <is>
          <t>docs/ASVS_EVIDENCE.md</t>
        </is>
      </c>
    </row>
    <row r="13" ht="75" customHeight="1" s="35">
      <c r="A13" s="19" t="inlineStr">
        <is>
          <t>V10.3</t>
        </is>
      </c>
      <c r="B13" s="19" t="inlineStr">
        <is>
          <t>OAuth Resource Server</t>
        </is>
      </c>
      <c r="C13" s="20" t="inlineStr">
        <is>
          <t>V10.3.4</t>
        </is>
      </c>
      <c r="D13" s="21"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17" t="n">
        <v>2</v>
      </c>
      <c r="F13" s="42" t="inlineStr">
        <is>
          <t>Not Applicable</t>
        </is>
      </c>
      <c r="G13" s="16" t="inlineStr">
        <is>
          <t>GhostReport does not implement OAuth/OIDC, an external identity provider, authorization-code flow, PKCE, token exchange or OIDC discovery.</t>
        </is>
      </c>
      <c r="H13" s="21" t="inlineStr">
        <is>
          <t>docs/ASVS_EVIDENCE.md</t>
        </is>
      </c>
    </row>
    <row r="14" ht="75" customHeight="1" s="35">
      <c r="A14" s="14" t="inlineStr">
        <is>
          <t>V10.3</t>
        </is>
      </c>
      <c r="B14" s="14" t="inlineStr">
        <is>
          <t>OAuth Resource Server</t>
        </is>
      </c>
      <c r="C14" s="15" t="inlineStr">
        <is>
          <t>V10.3.5</t>
        </is>
      </c>
      <c r="D14" s="16"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23" t="n">
        <v>3</v>
      </c>
      <c r="F14" s="42" t="inlineStr">
        <is>
          <t>Not Applicable</t>
        </is>
      </c>
      <c r="G14" s="16" t="inlineStr">
        <is>
          <t>GhostReport does not implement OAuth/OIDC, an external identity provider, authorization-code flow, PKCE, token exchange or OIDC discovery.</t>
        </is>
      </c>
      <c r="H14" s="16" t="inlineStr">
        <is>
          <t>docs/ASVS_EVIDENCE.md</t>
        </is>
      </c>
    </row>
    <row r="15" ht="18" customHeight="1" s="35">
      <c r="A15" s="13" t="inlineStr">
        <is>
          <t>V10.4</t>
        </is>
      </c>
      <c r="B15" s="13" t="inlineStr">
        <is>
          <t>OAuth Authorization Server</t>
        </is>
      </c>
      <c r="C15" s="13" t="n"/>
      <c r="D15" s="13" t="n"/>
      <c r="E15" s="13" t="n"/>
      <c r="F15" s="13" t="n"/>
      <c r="G15" s="13" t="n"/>
      <c r="H15" s="13" t="n"/>
    </row>
    <row r="16" ht="60" customHeight="1" s="35">
      <c r="A16" s="14" t="inlineStr">
        <is>
          <t>V10.4</t>
        </is>
      </c>
      <c r="B16" s="14" t="inlineStr">
        <is>
          <t>OAuth Authorization Server</t>
        </is>
      </c>
      <c r="C16" s="15" t="inlineStr">
        <is>
          <t>V10.4.1</t>
        </is>
      </c>
      <c r="D16" s="16" t="inlineStr">
        <is>
          <t>Verify that the authorization server validates redirect URIs based on a client-specific allowlist of pre-registered URIs using exact string comparison.</t>
        </is>
      </c>
      <c r="E16" s="22" t="n">
        <v>1</v>
      </c>
      <c r="F16" s="42" t="inlineStr">
        <is>
          <t>Not Applicable</t>
        </is>
      </c>
      <c r="G16" s="16" t="inlineStr">
        <is>
          <t>GhostReport does not implement OAuth/OIDC, an external identity provider, authorization-code flow, PKCE, token exchange or OIDC discovery.</t>
        </is>
      </c>
      <c r="H16" s="16" t="inlineStr">
        <is>
          <t>docs/ASVS_EVIDENCE.md</t>
        </is>
      </c>
    </row>
    <row r="17" ht="90" customHeight="1" s="35">
      <c r="A17" s="19" t="inlineStr">
        <is>
          <t>V10.4</t>
        </is>
      </c>
      <c r="B17" s="19" t="inlineStr">
        <is>
          <t>OAuth Authorization Server</t>
        </is>
      </c>
      <c r="C17" s="20" t="inlineStr">
        <is>
          <t>V10.4.2</t>
        </is>
      </c>
      <c r="D17" s="21"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22" t="n">
        <v>1</v>
      </c>
      <c r="F17" s="42" t="inlineStr">
        <is>
          <t>Not Applicable</t>
        </is>
      </c>
      <c r="G17" s="32" t="inlineStr">
        <is>
          <t>GhostReport does not implement OAuth/OIDC, an external identity provider, authorization-code flow, PKCE, token exchange or OIDC discovery.</t>
        </is>
      </c>
      <c r="H17" s="21" t="inlineStr">
        <is>
          <t>docs/ASVS_EVIDENCE.md</t>
        </is>
      </c>
    </row>
    <row r="18" ht="60" customHeight="1" s="35">
      <c r="A18" s="14" t="inlineStr">
        <is>
          <t>V10.4</t>
        </is>
      </c>
      <c r="B18" s="14" t="inlineStr">
        <is>
          <t>OAuth Authorization Server</t>
        </is>
      </c>
      <c r="C18" s="15" t="inlineStr">
        <is>
          <t>V10.4.3</t>
        </is>
      </c>
      <c r="D18" s="16" t="inlineStr">
        <is>
          <t>Verify that the authorization code is short-lived. The maximum lifetime can be up to 10 minutes for L1 and L2 applications and up to 1 minute for L3 applications.</t>
        </is>
      </c>
      <c r="E18" s="22" t="n">
        <v>1</v>
      </c>
      <c r="F18" s="42" t="inlineStr">
        <is>
          <t>Not Applicable</t>
        </is>
      </c>
      <c r="G18" s="16" t="inlineStr">
        <is>
          <t>GhostReport does not implement OAuth/OIDC, an external identity provider, authorization-code flow, PKCE, token exchange or OIDC discovery.</t>
        </is>
      </c>
      <c r="H18" s="16" t="inlineStr">
        <is>
          <t>docs/ASVS_EVIDENCE.md</t>
        </is>
      </c>
    </row>
    <row r="19" ht="60" customHeight="1" s="35">
      <c r="A19" s="19" t="inlineStr">
        <is>
          <t>V10.4</t>
        </is>
      </c>
      <c r="B19" s="19" t="inlineStr">
        <is>
          <t>OAuth Authorization Server</t>
        </is>
      </c>
      <c r="C19" s="20" t="inlineStr">
        <is>
          <t>V10.4.4</t>
        </is>
      </c>
      <c r="D19" s="21" t="inlineStr">
        <is>
          <t>Verify that for a given client, the authorization server only allows the usage of grants that this client needs to use. Note that the grants 'token' (Implicit flow) and 'password' (Resource Owner Password Credentials flow) must no longer be used.</t>
        </is>
      </c>
      <c r="E19" s="22" t="n">
        <v>1</v>
      </c>
      <c r="F19" s="42" t="inlineStr">
        <is>
          <t>Not Applicable</t>
        </is>
      </c>
      <c r="G19" s="32" t="inlineStr">
        <is>
          <t>GhostReport does not implement OAuth/OIDC, an external identity provider, authorization-code flow, PKCE, token exchange or OIDC discovery.</t>
        </is>
      </c>
      <c r="H19" s="21" t="inlineStr">
        <is>
          <t>docs/ASVS_EVIDENCE.md</t>
        </is>
      </c>
    </row>
    <row r="20" ht="135" customHeight="1" s="35">
      <c r="A20" s="14" t="inlineStr">
        <is>
          <t>V10.4</t>
        </is>
      </c>
      <c r="B20" s="14" t="inlineStr">
        <is>
          <t>OAuth Authorization Server</t>
        </is>
      </c>
      <c r="C20" s="15" t="inlineStr">
        <is>
          <t>V10.4.5</t>
        </is>
      </c>
      <c r="D20" s="16"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22" t="n">
        <v>1</v>
      </c>
      <c r="F20" s="42" t="inlineStr">
        <is>
          <t>Not Applicable</t>
        </is>
      </c>
      <c r="G20" s="16" t="inlineStr">
        <is>
          <t>GhostReport does not use mutual TLS or client certificates for authentication/authorization in the current architecture.</t>
        </is>
      </c>
      <c r="H20" s="16" t="inlineStr">
        <is>
          <t>docs/ASVS_EVIDENCE.md</t>
        </is>
      </c>
    </row>
    <row r="21" ht="105" customHeight="1" s="35">
      <c r="A21" s="19" t="inlineStr">
        <is>
          <t>V10.4</t>
        </is>
      </c>
      <c r="B21" s="19" t="inlineStr">
        <is>
          <t>OAuth Authorization Server</t>
        </is>
      </c>
      <c r="C21" s="20" t="inlineStr">
        <is>
          <t>V10.4.6</t>
        </is>
      </c>
      <c r="D21" s="21"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17" t="n">
        <v>2</v>
      </c>
      <c r="F21" s="42" t="inlineStr">
        <is>
          <t>Not Applicable</t>
        </is>
      </c>
      <c r="G21" s="32" t="inlineStr">
        <is>
          <t>GhostReport does not implement OAuth/OIDC, an external identity provider, authorization-code flow, PKCE, token exchange or OIDC discovery.</t>
        </is>
      </c>
      <c r="H21" s="21" t="inlineStr">
        <is>
          <t>docs/ASVS_EVIDENCE.md</t>
        </is>
      </c>
    </row>
    <row r="22" ht="90" customHeight="1" s="35">
      <c r="A22" s="14" t="inlineStr">
        <is>
          <t>V10.4</t>
        </is>
      </c>
      <c r="B22" s="14" t="inlineStr">
        <is>
          <t>OAuth Authorization Server</t>
        </is>
      </c>
      <c r="C22" s="15" t="inlineStr">
        <is>
          <t>V10.4.7</t>
        </is>
      </c>
      <c r="D22" s="16"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17" t="n">
        <v>2</v>
      </c>
      <c r="F22" s="42" t="inlineStr">
        <is>
          <t>Not Applicable</t>
        </is>
      </c>
      <c r="G22" s="16" t="inlineStr">
        <is>
          <t>GhostReport does not implement OAuth/OIDC, an external identity provider, authorization-code flow, PKCE, token exchange or OIDC discovery.</t>
        </is>
      </c>
      <c r="H22" s="16" t="inlineStr">
        <is>
          <t>docs/ASVS_EVIDENCE.md</t>
        </is>
      </c>
    </row>
    <row r="23" ht="60" customHeight="1" s="35">
      <c r="A23" s="19" t="inlineStr">
        <is>
          <t>V10.4</t>
        </is>
      </c>
      <c r="B23" s="19" t="inlineStr">
        <is>
          <t>OAuth Authorization Server</t>
        </is>
      </c>
      <c r="C23" s="20" t="inlineStr">
        <is>
          <t>V10.4.8</t>
        </is>
      </c>
      <c r="D23" s="21" t="inlineStr">
        <is>
          <t>Verify that refresh tokens have an absolute expiration, including if sliding refresh token expiration is applied.</t>
        </is>
      </c>
      <c r="E23" s="17" t="n">
        <v>2</v>
      </c>
      <c r="F23" s="42" t="inlineStr">
        <is>
          <t>Not Applicable</t>
        </is>
      </c>
      <c r="G23" s="32" t="inlineStr">
        <is>
          <t>GhostReport does not implement OAuth/OIDC, an external identity provider, authorization-code flow, PKCE, token exchange or OIDC discovery.</t>
        </is>
      </c>
      <c r="H23" s="21" t="inlineStr">
        <is>
          <t>docs/ASVS_EVIDENCE.md</t>
        </is>
      </c>
    </row>
    <row r="24" ht="60" customHeight="1" s="35">
      <c r="A24" s="14" t="inlineStr">
        <is>
          <t>V10.4</t>
        </is>
      </c>
      <c r="B24" s="14" t="inlineStr">
        <is>
          <t>OAuth Authorization Server</t>
        </is>
      </c>
      <c r="C24" s="15" t="inlineStr">
        <is>
          <t>V10.4.9</t>
        </is>
      </c>
      <c r="D24" s="16" t="inlineStr">
        <is>
          <t>Verify that refresh tokens and reference access tokens can be revoked by an authorized user using the authorization server user interface, to mitigate the risk of malicious clients or stolen tokens.</t>
        </is>
      </c>
      <c r="E24" s="17" t="n">
        <v>2</v>
      </c>
      <c r="F24" s="42" t="inlineStr">
        <is>
          <t>Not Applicable</t>
        </is>
      </c>
      <c r="G24" s="16" t="inlineStr">
        <is>
          <t>GhostReport does not implement OAuth/OIDC, an external identity provider, authorization-code flow, PKCE, token exchange or OIDC discovery.</t>
        </is>
      </c>
      <c r="H24" s="16" t="inlineStr">
        <is>
          <t>docs/ASVS_EVIDENCE.md</t>
        </is>
      </c>
    </row>
    <row r="25" ht="60" customHeight="1" s="35">
      <c r="A25" s="19" t="inlineStr">
        <is>
          <t>V10.4</t>
        </is>
      </c>
      <c r="B25" s="19" t="inlineStr">
        <is>
          <t>OAuth Authorization Server</t>
        </is>
      </c>
      <c r="C25" s="20" t="inlineStr">
        <is>
          <t>V10.4.10</t>
        </is>
      </c>
      <c r="D25" s="21" t="inlineStr">
        <is>
          <t>Verify that confidential client is authenticated for client-to-authorized server backchannel requests such as token requests, pushed authorization requests (PAR), and token revocation requests.</t>
        </is>
      </c>
      <c r="E25" s="17" t="n">
        <v>2</v>
      </c>
      <c r="F25" s="42" t="inlineStr">
        <is>
          <t>Not Applicable</t>
        </is>
      </c>
      <c r="G25" s="32" t="inlineStr">
        <is>
          <t>GhostReport does not implement OAuth/OIDC, an external identity provider, authorization-code flow, PKCE, token exchange or OIDC discovery.</t>
        </is>
      </c>
      <c r="H25" s="21" t="inlineStr">
        <is>
          <t>docs/ASVS_EVIDENCE.md</t>
        </is>
      </c>
    </row>
    <row r="26" ht="60" customHeight="1" s="35">
      <c r="A26" s="14" t="inlineStr">
        <is>
          <t>V10.4</t>
        </is>
      </c>
      <c r="B26" s="14" t="inlineStr">
        <is>
          <t>OAuth Authorization Server</t>
        </is>
      </c>
      <c r="C26" s="15" t="inlineStr">
        <is>
          <t>V10.4.11</t>
        </is>
      </c>
      <c r="D26" s="16" t="inlineStr">
        <is>
          <t>Verify that the authorization server configuration only assigns the required scopes to the OAuth client.</t>
        </is>
      </c>
      <c r="E26" s="17" t="n">
        <v>2</v>
      </c>
      <c r="F26" s="42" t="inlineStr">
        <is>
          <t>Not Applicable</t>
        </is>
      </c>
      <c r="G26" s="16" t="inlineStr">
        <is>
          <t>GhostReport does not implement OAuth/OIDC, an external identity provider, authorization-code flow, PKCE, token exchange or OIDC discovery.</t>
        </is>
      </c>
      <c r="H26" s="30" t="inlineStr">
        <is>
          <t>docs/ASVS_EVIDENCE.md</t>
        </is>
      </c>
    </row>
    <row r="27" ht="75" customHeight="1" s="35">
      <c r="A27" s="19" t="inlineStr">
        <is>
          <t>V10.4</t>
        </is>
      </c>
      <c r="B27" s="19" t="inlineStr">
        <is>
          <t>OAuth Authorization Server</t>
        </is>
      </c>
      <c r="C27" s="20" t="inlineStr">
        <is>
          <t>V10.4.12</t>
        </is>
      </c>
      <c r="D27" s="21"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23" t="n">
        <v>3</v>
      </c>
      <c r="F27" s="42" t="inlineStr">
        <is>
          <t>Not Applicable</t>
        </is>
      </c>
      <c r="G27" s="32" t="inlineStr">
        <is>
          <t>GhostReport does not implement OAuth/OIDC, an external identity provider, authorization-code flow, PKCE, token exchange or OIDC discovery.</t>
        </is>
      </c>
      <c r="H27" s="21" t="inlineStr">
        <is>
          <t>docs/ASVS_EVIDENCE.md</t>
        </is>
      </c>
    </row>
    <row r="28" ht="60" customHeight="1" s="35">
      <c r="A28" s="14" t="inlineStr">
        <is>
          <t>V10.4</t>
        </is>
      </c>
      <c r="B28" s="14" t="inlineStr">
        <is>
          <t>OAuth Authorization Server</t>
        </is>
      </c>
      <c r="C28" s="15" t="inlineStr">
        <is>
          <t>V10.4.13</t>
        </is>
      </c>
      <c r="D28" s="16" t="inlineStr">
        <is>
          <t>Verify that grant type 'code' is always used together with pushed authorization requests (PAR).</t>
        </is>
      </c>
      <c r="E28" s="23" t="n">
        <v>3</v>
      </c>
      <c r="F28" s="42" t="inlineStr">
        <is>
          <t>Not Applicable</t>
        </is>
      </c>
      <c r="G28" s="16" t="inlineStr">
        <is>
          <t>GhostReport does not implement OAuth/OIDC, an external identity provider, authorization-code flow, PKCE, token exchange or OIDC discovery.</t>
        </is>
      </c>
      <c r="H28" s="30" t="inlineStr">
        <is>
          <t>docs/ASVS_EVIDENCE.md</t>
        </is>
      </c>
    </row>
    <row r="29" ht="60" customHeight="1" s="35">
      <c r="A29" s="19" t="inlineStr">
        <is>
          <t>V10.4</t>
        </is>
      </c>
      <c r="B29" s="19" t="inlineStr">
        <is>
          <t>OAuth Authorization Server</t>
        </is>
      </c>
      <c r="C29" s="20" t="inlineStr">
        <is>
          <t>V10.4.14</t>
        </is>
      </c>
      <c r="D29" s="21" t="inlineStr">
        <is>
          <t>Verify that the authorization server issues only sender-constrained (Proof-of-Possession) access tokens, either with certificate-bound access tokens using mutual TLS (mTLS) or DPoP-bound access tokens (Demonstration of Proof of Possession).</t>
        </is>
      </c>
      <c r="E29" s="23" t="n">
        <v>3</v>
      </c>
      <c r="F29" s="42" t="inlineStr">
        <is>
          <t>Not Applicable</t>
        </is>
      </c>
      <c r="G29" s="32" t="inlineStr">
        <is>
          <t>GhostReport does not use mutual TLS or client certificates for authentication/authorization in the current architecture.</t>
        </is>
      </c>
      <c r="H29" s="21" t="inlineStr">
        <is>
          <t>docs/ASVS_EVIDENCE.md</t>
        </is>
      </c>
    </row>
    <row r="30" ht="90" customHeight="1" s="35">
      <c r="A30" s="14" t="inlineStr">
        <is>
          <t>V10.4</t>
        </is>
      </c>
      <c r="B30" s="14" t="inlineStr">
        <is>
          <t>OAuth Authorization Server</t>
        </is>
      </c>
      <c r="C30" s="15" t="inlineStr">
        <is>
          <t>V10.4.15</t>
        </is>
      </c>
      <c r="D30" s="16"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23" t="n">
        <v>3</v>
      </c>
      <c r="F30" s="42" t="inlineStr">
        <is>
          <t>Not Applicable</t>
        </is>
      </c>
      <c r="G30" s="16" t="inlineStr">
        <is>
          <t>GhostReport does not implement OAuth/OIDC, an external identity provider, authorization-code flow, PKCE, token exchange or OIDC discovery.</t>
        </is>
      </c>
      <c r="H30" s="30" t="inlineStr">
        <is>
          <t>docs/ASVS_EVIDENCE.md</t>
        </is>
      </c>
    </row>
    <row r="31" ht="75" customHeight="1" s="35">
      <c r="A31" s="19" t="inlineStr">
        <is>
          <t>V10.4</t>
        </is>
      </c>
      <c r="B31" s="19" t="inlineStr">
        <is>
          <t>OAuth Authorization Server</t>
        </is>
      </c>
      <c r="C31" s="20" t="inlineStr">
        <is>
          <t>V10.4.16</t>
        </is>
      </c>
      <c r="D31" s="21"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23" t="n">
        <v>3</v>
      </c>
      <c r="F31" s="42" t="inlineStr">
        <is>
          <t>Not Applicable</t>
        </is>
      </c>
      <c r="G31" s="32" t="inlineStr">
        <is>
          <t>GhostReport does not implement OAuth/OIDC, an external identity provider, authorization-code flow, PKCE, token exchange or OIDC discovery.</t>
        </is>
      </c>
      <c r="H31" s="21" t="inlineStr">
        <is>
          <t>docs/ASVS_EVIDENCE.md</t>
        </is>
      </c>
    </row>
    <row r="32" ht="18" customHeight="1" s="35">
      <c r="A32" s="13" t="inlineStr">
        <is>
          <t>V10.5</t>
        </is>
      </c>
      <c r="B32" s="13" t="inlineStr">
        <is>
          <t>OIDC Client</t>
        </is>
      </c>
      <c r="C32" s="13" t="n"/>
      <c r="D32" s="13" t="n"/>
      <c r="E32" s="13" t="n"/>
      <c r="F32" s="13" t="n"/>
      <c r="G32" s="13" t="n"/>
      <c r="H32" s="13" t="n"/>
    </row>
    <row r="33" ht="90" customHeight="1" s="35">
      <c r="A33" s="14" t="inlineStr">
        <is>
          <t>V10.5</t>
        </is>
      </c>
      <c r="B33" s="14" t="inlineStr">
        <is>
          <t>OIDC Client</t>
        </is>
      </c>
      <c r="C33" s="15" t="inlineStr">
        <is>
          <t>V10.5.1</t>
        </is>
      </c>
      <c r="D33" s="16"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17" t="n">
        <v>2</v>
      </c>
      <c r="F33" s="42" t="inlineStr">
        <is>
          <t>Not Applicable</t>
        </is>
      </c>
      <c r="G33" s="16" t="inlineStr">
        <is>
          <t>GhostReport does not implement OAuth/OIDC, an external identity provider, authorization-code flow, PKCE, token exchange or OIDC discovery.</t>
        </is>
      </c>
      <c r="H33" s="16" t="inlineStr">
        <is>
          <t>docs/ASVS_EVIDENCE.md</t>
        </is>
      </c>
    </row>
    <row r="34" ht="60" customHeight="1" s="35">
      <c r="A34" s="19" t="inlineStr">
        <is>
          <t>V10.5</t>
        </is>
      </c>
      <c r="B34" s="19" t="inlineStr">
        <is>
          <t>OIDC Client</t>
        </is>
      </c>
      <c r="C34" s="20" t="inlineStr">
        <is>
          <t>V10.5.2</t>
        </is>
      </c>
      <c r="D34" s="21" t="inlineStr">
        <is>
          <t>Verify that the client uniquely identifies the user from ID Token claims, usually the 'sub' claim, which cannot be reassigned to other users (for the scope of an identity provider).</t>
        </is>
      </c>
      <c r="E34" s="17" t="n">
        <v>2</v>
      </c>
      <c r="F34" s="42" t="inlineStr">
        <is>
          <t>Not Applicable</t>
        </is>
      </c>
      <c r="G34" s="32" t="inlineStr">
        <is>
          <t>GhostReport does not implement OAuth/OIDC, an external identity provider, authorization-code flow, PKCE, token exchange or OIDC discovery.</t>
        </is>
      </c>
      <c r="H34" s="21" t="inlineStr">
        <is>
          <t>docs/ASVS_EVIDENCE.md</t>
        </is>
      </c>
    </row>
    <row r="35" ht="90" customHeight="1" s="35">
      <c r="A35" s="14" t="inlineStr">
        <is>
          <t>V10.5</t>
        </is>
      </c>
      <c r="B35" s="14" t="inlineStr">
        <is>
          <t>OIDC Client</t>
        </is>
      </c>
      <c r="C35" s="15" t="inlineStr">
        <is>
          <t>V10.5.3</t>
        </is>
      </c>
      <c r="D35" s="16"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17" t="n">
        <v>2</v>
      </c>
      <c r="F35" s="42" t="inlineStr">
        <is>
          <t>Not Applicable</t>
        </is>
      </c>
      <c r="G35" s="16" t="inlineStr">
        <is>
          <t>GhostReport does not implement OAuth/OIDC, an external identity provider, authorization-code flow, PKCE, token exchange or OIDC discovery.</t>
        </is>
      </c>
      <c r="H35" s="16" t="inlineStr">
        <is>
          <t>docs/ASVS_EVIDENCE.md</t>
        </is>
      </c>
    </row>
    <row r="36" ht="60" customHeight="1" s="35">
      <c r="A36" s="19" t="inlineStr">
        <is>
          <t>V10.5</t>
        </is>
      </c>
      <c r="B36" s="19" t="inlineStr">
        <is>
          <t>OIDC Client</t>
        </is>
      </c>
      <c r="C36" s="20" t="inlineStr">
        <is>
          <t>V10.5.4</t>
        </is>
      </c>
      <c r="D36" s="21" t="inlineStr">
        <is>
          <t>Verify that the client validates that the ID Token is intended to be used for that client (audience) by checking that the 'aud' claim from the token is equal to the 'client_id' value for the client.</t>
        </is>
      </c>
      <c r="E36" s="17" t="n">
        <v>2</v>
      </c>
      <c r="F36" s="42" t="inlineStr">
        <is>
          <t>Not Applicable</t>
        </is>
      </c>
      <c r="G36" s="32" t="inlineStr">
        <is>
          <t>GhostReport does not implement OAuth/OIDC, an external identity provider, authorization-code flow, PKCE, token exchange or OIDC discovery.</t>
        </is>
      </c>
      <c r="H36" s="21" t="inlineStr">
        <is>
          <t>docs/ASVS_EVIDENCE.md</t>
        </is>
      </c>
    </row>
    <row r="37" ht="105" customHeight="1" s="35">
      <c r="A37" s="14" t="inlineStr">
        <is>
          <t>V10.5</t>
        </is>
      </c>
      <c r="B37" s="14" t="inlineStr">
        <is>
          <t>OIDC Client</t>
        </is>
      </c>
      <c r="C37" s="15" t="inlineStr">
        <is>
          <t>V10.5.5</t>
        </is>
      </c>
      <c r="D37" s="16"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17" t="n">
        <v>2</v>
      </c>
      <c r="F37" s="42" t="inlineStr">
        <is>
          <t>Not Applicable</t>
        </is>
      </c>
      <c r="G37" s="16" t="inlineStr">
        <is>
          <t>GhostReport does not implement OAuth/OIDC, an external identity provider, authorization-code flow, PKCE, token exchange or OIDC discovery.</t>
        </is>
      </c>
      <c r="H37" s="16" t="inlineStr">
        <is>
          <t>docs/ASVS_EVIDENCE.md</t>
        </is>
      </c>
    </row>
    <row r="38" ht="18" customHeight="1" s="35">
      <c r="A38" s="13" t="inlineStr">
        <is>
          <t>V10.6</t>
        </is>
      </c>
      <c r="B38" s="13" t="inlineStr">
        <is>
          <t>OpenID Provider</t>
        </is>
      </c>
      <c r="C38" s="13" t="n"/>
      <c r="D38" s="13" t="n"/>
      <c r="E38" s="13" t="n"/>
      <c r="F38" s="13" t="n"/>
      <c r="G38" s="13" t="n"/>
      <c r="H38" s="13" t="n"/>
    </row>
    <row r="39" ht="60" customHeight="1" s="35">
      <c r="A39" s="14" t="inlineStr">
        <is>
          <t>V10.6</t>
        </is>
      </c>
      <c r="B39" s="14" t="inlineStr">
        <is>
          <t>OpenID Provider</t>
        </is>
      </c>
      <c r="C39" s="15" t="inlineStr">
        <is>
          <t>V10.6.1</t>
        </is>
      </c>
      <c r="D39" s="16" t="inlineStr">
        <is>
          <t>Verify that the OpenID Provider only allows values 'code', 'ciba', 'id_token', or 'id_token code' for response mode. Note that 'code' is preferred over 'id_token code' (the OIDC Hybrid flow), and 'token' (any Implicit flow) must not be used.</t>
        </is>
      </c>
      <c r="E39" s="17" t="n">
        <v>2</v>
      </c>
      <c r="F39" s="42" t="inlineStr">
        <is>
          <t>Not Applicable</t>
        </is>
      </c>
      <c r="G39" s="16" t="inlineStr">
        <is>
          <t>GhostReport does not implement OAuth/OIDC, an external identity provider, authorization-code flow, PKCE, token exchange or OIDC discovery.</t>
        </is>
      </c>
      <c r="H39" s="16" t="inlineStr">
        <is>
          <t>docs/ASVS_EVIDENCE.md</t>
        </is>
      </c>
    </row>
    <row r="40" ht="75" customHeight="1" s="35">
      <c r="A40" s="19" t="inlineStr">
        <is>
          <t>V10.6</t>
        </is>
      </c>
      <c r="B40" s="19" t="inlineStr">
        <is>
          <t>OpenID Provider</t>
        </is>
      </c>
      <c r="C40" s="20" t="inlineStr">
        <is>
          <t>V10.6.2</t>
        </is>
      </c>
      <c r="D40" s="21" t="inlineStr">
        <is>
          <t>Verify that the OpenID Provider mitigates denial of service through forced logout. By obtaining explicit confirmation from the end-user or, if present, validating parameters in the logout request (initiated by the relying party), such as the 'id_token_hint'.</t>
        </is>
      </c>
      <c r="E40" s="17" t="n">
        <v>2</v>
      </c>
      <c r="F40" s="42" t="inlineStr">
        <is>
          <t>Not Applicable</t>
        </is>
      </c>
      <c r="G40" s="32" t="inlineStr">
        <is>
          <t>GhostReport does not implement OAuth/OIDC, an external identity provider, authorization-code flow, PKCE, token exchange or OIDC discovery.</t>
        </is>
      </c>
      <c r="H40" s="21" t="inlineStr">
        <is>
          <t>docs/ASVS_EVIDENCE.md</t>
        </is>
      </c>
    </row>
    <row r="41" ht="18" customHeight="1" s="35">
      <c r="A41" s="13" t="inlineStr">
        <is>
          <t>V10.7</t>
        </is>
      </c>
      <c r="B41" s="13" t="inlineStr">
        <is>
          <t>Consent Management</t>
        </is>
      </c>
      <c r="C41" s="13" t="n"/>
      <c r="D41" s="13" t="n"/>
      <c r="E41" s="13" t="n"/>
      <c r="F41" s="13" t="n"/>
      <c r="G41" s="13" t="n"/>
      <c r="H41" s="13" t="n"/>
    </row>
    <row r="42" ht="60" customHeight="1" s="35">
      <c r="A42" s="14" t="inlineStr">
        <is>
          <t>V10.7</t>
        </is>
      </c>
      <c r="B42" s="14" t="inlineStr">
        <is>
          <t>Consent Management</t>
        </is>
      </c>
      <c r="C42" s="15" t="inlineStr">
        <is>
          <t>V10.7.1</t>
        </is>
      </c>
      <c r="D42" s="16" t="inlineStr">
        <is>
          <t>Verify that the authorization server ensures that the user consents to each authorization request. If the identity of the client cannot be assured, the authorization server must always explicitly prompt the user for consent.</t>
        </is>
      </c>
      <c r="E42" s="17" t="n">
        <v>2</v>
      </c>
      <c r="F42" s="42" t="inlineStr">
        <is>
          <t>Not Applicable</t>
        </is>
      </c>
      <c r="G42" s="16" t="inlineStr">
        <is>
          <t>GhostReport does not implement OAuth/OIDC, an external identity provider, authorization-code flow, PKCE, token exchange or OIDC discovery.</t>
        </is>
      </c>
      <c r="H42" s="16" t="inlineStr">
        <is>
          <t>docs/ASVS_EVIDENCE.md</t>
        </is>
      </c>
    </row>
    <row r="43" ht="105" customHeight="1" s="35">
      <c r="A43" s="19" t="inlineStr">
        <is>
          <t>V10.7</t>
        </is>
      </c>
      <c r="B43" s="19" t="inlineStr">
        <is>
          <t>Consent Management</t>
        </is>
      </c>
      <c r="C43" s="20" t="inlineStr">
        <is>
          <t>V10.7.2</t>
        </is>
      </c>
      <c r="D43" s="21"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17" t="n">
        <v>2</v>
      </c>
      <c r="F43" s="42" t="inlineStr">
        <is>
          <t>Not Applicable</t>
        </is>
      </c>
      <c r="G43" s="32" t="inlineStr">
        <is>
          <t>GhostReport does not implement OAuth/OIDC, an external identity provider, authorization-code flow, PKCE, token exchange or OIDC discovery.</t>
        </is>
      </c>
      <c r="H43" s="32" t="inlineStr">
        <is>
          <t>docs/ASVS_EVIDENCE.md</t>
        </is>
      </c>
    </row>
    <row r="44" ht="60" customHeight="1" s="35">
      <c r="A44" s="14" t="inlineStr">
        <is>
          <t>V10.7</t>
        </is>
      </c>
      <c r="B44" s="14" t="inlineStr">
        <is>
          <t>Consent Management</t>
        </is>
      </c>
      <c r="C44" s="15" t="inlineStr">
        <is>
          <t>V10.7.3</t>
        </is>
      </c>
      <c r="D44" s="16" t="inlineStr">
        <is>
          <t>Verify that the user can review, modify, and revoke consents which the user has granted through the authorization server.</t>
        </is>
      </c>
      <c r="E44" s="17" t="n">
        <v>2</v>
      </c>
      <c r="F44" s="42" t="inlineStr">
        <is>
          <t>Not Applicable</t>
        </is>
      </c>
      <c r="G44" s="16" t="inlineStr">
        <is>
          <t>GhostReport does not implement OAuth/OIDC, an external identity provider, authorization-code flow, PKCE, token exchange or OIDC discovery.</t>
        </is>
      </c>
      <c r="H44" s="16" t="inlineStr">
        <is>
          <t>docs/ASVS_EVIDENCE.md</t>
        </is>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44"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32"/>
  <sheetViews>
    <sheetView topLeftCell="A14" zoomScale="70" zoomScaleNormal="70" workbookViewId="0">
      <selection activeCell="G31" sqref="G31"/>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V11.1</t>
        </is>
      </c>
      <c r="B2" s="13" t="inlineStr">
        <is>
          <t>Cryptographic Inventory and Documentation</t>
        </is>
      </c>
      <c r="C2" s="13" t="n"/>
      <c r="D2" s="13" t="n"/>
      <c r="E2" s="13" t="n"/>
      <c r="F2" s="13" t="n"/>
      <c r="G2" s="13" t="n"/>
      <c r="H2" s="13" t="n"/>
    </row>
    <row r="3" ht="90" customHeight="1" s="35">
      <c r="A3" s="14" t="inlineStr">
        <is>
          <t>V11.1</t>
        </is>
      </c>
      <c r="B3" s="14" t="inlineStr">
        <is>
          <t>Cryptographic Inventory and Documentation</t>
        </is>
      </c>
      <c r="C3" s="15" t="inlineStr">
        <is>
          <t>V11.1.1</t>
        </is>
      </c>
      <c r="D3" s="16"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17" t="n">
        <v>2</v>
      </c>
      <c r="F3" s="41" t="inlineStr">
        <is>
          <t>Not Started</t>
        </is>
      </c>
      <c r="G3" s="16" t="inlineStr">
        <is>
          <t>Formal cryptographic inventory/key lifecycle document is pending.</t>
        </is>
      </c>
      <c r="H3" s="16" t="inlineStr">
        <is>
          <t>docs/ASVS_EVIDENCE.md</t>
        </is>
      </c>
    </row>
    <row r="4" ht="90" customHeight="1" s="35">
      <c r="A4" s="19" t="inlineStr">
        <is>
          <t>V11.1</t>
        </is>
      </c>
      <c r="B4" s="19" t="inlineStr">
        <is>
          <t>Cryptographic Inventory and Documentation</t>
        </is>
      </c>
      <c r="C4" s="20" t="inlineStr">
        <is>
          <t>V11.1.2</t>
        </is>
      </c>
      <c r="D4" s="21"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17" t="n">
        <v>2</v>
      </c>
      <c r="F4" s="41" t="inlineStr">
        <is>
          <t>Not Started</t>
        </is>
      </c>
      <c r="G4" s="21" t="inlineStr">
        <is>
          <t>Formal cryptographic inventory/key lifecycle document is pending.</t>
        </is>
      </c>
      <c r="H4" s="21" t="inlineStr">
        <is>
          <t>docs/ASVS_EVIDENCE.md</t>
        </is>
      </c>
    </row>
    <row r="5" ht="75" customHeight="1" s="35">
      <c r="A5" s="14" t="inlineStr">
        <is>
          <t>V11.1</t>
        </is>
      </c>
      <c r="B5" s="14" t="inlineStr">
        <is>
          <t>Cryptographic Inventory and Documentation</t>
        </is>
      </c>
      <c r="C5" s="15" t="inlineStr">
        <is>
          <t>V11.1.3</t>
        </is>
      </c>
      <c r="D5" s="16" t="inlineStr">
        <is>
          <t>Verify that cryptographic discovery mechanisms are employed to identify all instances of cryptography in the system, including encryption, hashing, and signing operations.</t>
        </is>
      </c>
      <c r="E5" s="23" t="n">
        <v>3</v>
      </c>
      <c r="F5" s="41" t="inlineStr">
        <is>
          <t>Not Started</t>
        </is>
      </c>
      <c r="G5" s="16" t="inlineStr">
        <is>
          <t>Formal cryptographic inventory/key lifecycle document is pending.</t>
        </is>
      </c>
      <c r="H5" s="16" t="inlineStr">
        <is>
          <t>docs/ASVS_EVIDENCE.md</t>
        </is>
      </c>
    </row>
    <row r="6" ht="75" customHeight="1" s="35">
      <c r="A6" s="19" t="inlineStr">
        <is>
          <t>V11.1</t>
        </is>
      </c>
      <c r="B6" s="19" t="inlineStr">
        <is>
          <t>Cryptographic Inventory and Documentation</t>
        </is>
      </c>
      <c r="C6" s="20" t="inlineStr">
        <is>
          <t>V11.1.4</t>
        </is>
      </c>
      <c r="D6" s="21" t="inlineStr">
        <is>
          <t>Verify that a cryptographic inventory is maintained. This must include a documented plan that outlines the migration path to new cryptographic standards, such as post-quantum cryptography, in order to react to future threats.</t>
        </is>
      </c>
      <c r="E6" s="23" t="n">
        <v>3</v>
      </c>
      <c r="F6" s="41" t="inlineStr">
        <is>
          <t>Not Started</t>
        </is>
      </c>
      <c r="G6" s="21" t="inlineStr">
        <is>
          <t>Formal cryptographic inventory/key lifecycle document is pending.</t>
        </is>
      </c>
      <c r="H6" s="21" t="inlineStr">
        <is>
          <t>docs/ASVS_EVIDENCE.md</t>
        </is>
      </c>
    </row>
    <row r="7" ht="18" customHeight="1" s="35">
      <c r="A7" s="13" t="inlineStr">
        <is>
          <t>V11.2</t>
        </is>
      </c>
      <c r="B7" s="13" t="inlineStr">
        <is>
          <t>Secure Cryptography Implementation</t>
        </is>
      </c>
      <c r="C7" s="13" t="n"/>
      <c r="D7" s="13" t="n"/>
      <c r="E7" s="13" t="n"/>
      <c r="F7" s="13" t="n"/>
      <c r="G7" s="13" t="n"/>
      <c r="H7" s="13" t="n"/>
    </row>
    <row r="8" ht="75" customHeight="1" s="35">
      <c r="A8" s="14" t="inlineStr">
        <is>
          <t>V11.2</t>
        </is>
      </c>
      <c r="B8" s="14" t="inlineStr">
        <is>
          <t>Secure Cryptography Implementation</t>
        </is>
      </c>
      <c r="C8" s="15" t="inlineStr">
        <is>
          <t>V11.2.1</t>
        </is>
      </c>
      <c r="D8" s="16" t="inlineStr">
        <is>
          <t>Verify that industry-validated implementations (including libraries and hardware-accelerated implementations) are used for cryptographic operations.</t>
        </is>
      </c>
      <c r="E8" s="17" t="n">
        <v>2</v>
      </c>
      <c r="F8" s="39" t="inlineStr">
        <is>
          <t>Partially Compliant</t>
        </is>
      </c>
      <c r="G8" s="16" t="inlineStr">
        <is>
          <t>BCrypt, HMAC-SHA256 JWT and SHA-256 integrity hashes use platform libraries; formal crypto inventory/key lifecycle is incomplete.</t>
        </is>
      </c>
      <c r="H8" s="16" t="inlineStr">
        <is>
          <t>ghostreport/src/main/java/com/ghostreport/service/JwtService.java; ghostreport/src/main/java/com/ghostreport/service/BackupService.java</t>
        </is>
      </c>
    </row>
    <row r="9" ht="135" customHeight="1" s="35">
      <c r="A9" s="19" t="inlineStr">
        <is>
          <t>V11.2</t>
        </is>
      </c>
      <c r="B9" s="19" t="inlineStr">
        <is>
          <t>Secure Cryptography Implementation</t>
        </is>
      </c>
      <c r="C9" s="20" t="inlineStr">
        <is>
          <t>V11.2.2</t>
        </is>
      </c>
      <c r="D9" s="21"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17" t="n">
        <v>2</v>
      </c>
      <c r="F9" s="39" t="inlineStr">
        <is>
          <t>Partially Compliant</t>
        </is>
      </c>
      <c r="G9" s="21" t="inlineStr">
        <is>
          <t>BCrypt, HMAC-SHA256 JWT and SHA-256 integrity hashes use platform libraries; formal crypto inventory/key lifecycle is incomplete.</t>
        </is>
      </c>
      <c r="H9" s="21" t="inlineStr">
        <is>
          <t>ghostreport/src/main/java/com/ghostreport/service/JwtService.java; ghostreport/src/main/java/com/ghostreport/service/BackupService.java</t>
        </is>
      </c>
    </row>
    <row r="10" ht="75" customHeight="1" s="35">
      <c r="A10" s="14" t="inlineStr">
        <is>
          <t>V11.2</t>
        </is>
      </c>
      <c r="B10" s="14" t="inlineStr">
        <is>
          <t>Secure Cryptography Implementation</t>
        </is>
      </c>
      <c r="C10" s="15" t="inlineStr">
        <is>
          <t>V11.2.3</t>
        </is>
      </c>
      <c r="D10" s="16"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17" t="n">
        <v>2</v>
      </c>
      <c r="F10" s="39" t="inlineStr">
        <is>
          <t>Partially Compliant</t>
        </is>
      </c>
      <c r="G10" s="16" t="inlineStr">
        <is>
          <t>BCrypt, HMAC-SHA256 JWT and SHA-256 integrity hashes use platform libraries; formal crypto inventory/key lifecycle is incomplete.</t>
        </is>
      </c>
      <c r="H10" s="16" t="inlineStr">
        <is>
          <t>ghostreport/src/main/java/com/ghostreport/service/JwtService.java; ghostreport/src/main/java/com/ghostreport/service/BackupService.java</t>
        </is>
      </c>
    </row>
    <row r="11" ht="75" customHeight="1" s="35">
      <c r="A11" s="19" t="inlineStr">
        <is>
          <t>V11.2</t>
        </is>
      </c>
      <c r="B11" s="19" t="inlineStr">
        <is>
          <t>Secure Cryptography Implementation</t>
        </is>
      </c>
      <c r="C11" s="20" t="inlineStr">
        <is>
          <t>V11.2.4</t>
        </is>
      </c>
      <c r="D11" s="21" t="inlineStr">
        <is>
          <t>Verify that all cryptographic operations are constant-time, with no 'short-circuit' operations in comparisons, calculations, or returns, to avoid leaking information.</t>
        </is>
      </c>
      <c r="E11" s="23" t="n">
        <v>3</v>
      </c>
      <c r="F11" s="39" t="inlineStr">
        <is>
          <t>Partially Compliant</t>
        </is>
      </c>
      <c r="G11" s="21" t="inlineStr">
        <is>
          <t>BCrypt, HMAC-SHA256 JWT and SHA-256 integrity hashes use platform libraries; formal crypto inventory/key lifecycle is incomplete.</t>
        </is>
      </c>
      <c r="H11" s="21" t="inlineStr">
        <is>
          <t>ghostreport/src/main/java/com/ghostreport/service/JwtService.java; ghostreport/src/main/java/com/ghostreport/service/BackupService.java</t>
        </is>
      </c>
    </row>
    <row r="12" ht="60" customHeight="1" s="35">
      <c r="A12" s="14" t="inlineStr">
        <is>
          <t>V11.2</t>
        </is>
      </c>
      <c r="B12" s="14" t="inlineStr">
        <is>
          <t>Secure Cryptography Implementation</t>
        </is>
      </c>
      <c r="C12" s="15" t="inlineStr">
        <is>
          <t>V11.2.5</t>
        </is>
      </c>
      <c r="D12" s="16" t="inlineStr">
        <is>
          <t>Verify that all cryptographic modules fail securely, and errors are handled in a way that does not enable vulnerabilities, such as Padding Oracle attacks.</t>
        </is>
      </c>
      <c r="E12" s="23" t="n">
        <v>3</v>
      </c>
      <c r="F12" s="39" t="inlineStr">
        <is>
          <t>Partially Compliant</t>
        </is>
      </c>
      <c r="G12" s="16" t="inlineStr">
        <is>
          <t>BCrypt, HMAC-SHA256 JWT and SHA-256 integrity hashes use platform libraries; formal crypto inventory/key lifecycle is incomplete.</t>
        </is>
      </c>
      <c r="H12" s="16" t="inlineStr">
        <is>
          <t>ghostreport/src/main/java/com/ghostreport/service/JwtService.java; ghostreport/src/main/java/com/ghostreport/service/BackupService.java</t>
        </is>
      </c>
    </row>
    <row r="13" ht="18" customHeight="1" s="35">
      <c r="A13" s="13" t="inlineStr">
        <is>
          <t>V11.3</t>
        </is>
      </c>
      <c r="B13" s="13" t="inlineStr">
        <is>
          <t>Encryption Algorithms</t>
        </is>
      </c>
      <c r="C13" s="13" t="n"/>
      <c r="D13" s="13" t="n"/>
      <c r="E13" s="13" t="n"/>
      <c r="F13" s="13" t="n"/>
      <c r="G13" s="13" t="n"/>
      <c r="H13" s="13" t="n"/>
    </row>
    <row r="14" ht="45" customHeight="1" s="35">
      <c r="A14" s="14" t="inlineStr">
        <is>
          <t>V11.3</t>
        </is>
      </c>
      <c r="B14" s="14" t="inlineStr">
        <is>
          <t>Encryption Algorithms</t>
        </is>
      </c>
      <c r="C14" s="15" t="inlineStr">
        <is>
          <t>V11.3.1</t>
        </is>
      </c>
      <c r="D14" s="16" t="inlineStr">
        <is>
          <t>Verify that insecure block modes (e.g., ECB) and weak padding schemes (e.g., PKCS#1 v1.5) are not used.</t>
        </is>
      </c>
      <c r="E14" s="22" t="n">
        <v>1</v>
      </c>
      <c r="F14" s="39" t="inlineStr">
        <is>
          <t>Partially Compliant</t>
        </is>
      </c>
      <c r="G14" s="16" t="inlineStr">
        <is>
          <t>BCrypt, HMAC-SHA256 JWT and SHA-256 integrity hashes use platform libraries; formal crypto inventory/key lifecycle is incomplete.</t>
        </is>
      </c>
      <c r="H14" s="16" t="inlineStr">
        <is>
          <t>ghostreport/src/main/java/com/ghostreport/service/JwtService.java; ghostreport/src/main/java/com/ghostreport/service/BackupService.java</t>
        </is>
      </c>
    </row>
    <row r="15" ht="45" customHeight="1" s="35">
      <c r="A15" s="19" t="inlineStr">
        <is>
          <t>V11.3</t>
        </is>
      </c>
      <c r="B15" s="19" t="inlineStr">
        <is>
          <t>Encryption Algorithms</t>
        </is>
      </c>
      <c r="C15" s="20" t="inlineStr">
        <is>
          <t>V11.3.2</t>
        </is>
      </c>
      <c r="D15" s="21" t="inlineStr">
        <is>
          <t>Verify that only approved ciphers and modes such as AES with GCM are used.</t>
        </is>
      </c>
      <c r="E15" s="22" t="n">
        <v>1</v>
      </c>
      <c r="F15" s="39" t="inlineStr">
        <is>
          <t>Partially Compliant</t>
        </is>
      </c>
      <c r="G15" s="21" t="inlineStr">
        <is>
          <t>BCrypt, HMAC-SHA256 JWT and SHA-256 integrity hashes use platform libraries; formal crypto inventory/key lifecycle is incomplete.</t>
        </is>
      </c>
      <c r="H15" s="21" t="inlineStr">
        <is>
          <t>ghostreport/src/main/java/com/ghostreport/service/JwtService.java; ghostreport/src/main/java/com/ghostreport/service/BackupService.java</t>
        </is>
      </c>
    </row>
    <row r="16" ht="60" customHeight="1" s="35">
      <c r="A16" s="14" t="inlineStr">
        <is>
          <t>V11.3</t>
        </is>
      </c>
      <c r="B16" s="14" t="inlineStr">
        <is>
          <t>Encryption Algorithms</t>
        </is>
      </c>
      <c r="C16" s="15" t="inlineStr">
        <is>
          <t>V11.3.3</t>
        </is>
      </c>
      <c r="D16" s="16" t="inlineStr">
        <is>
          <t>Verify that encrypted data is protected against unauthorized modification preferably by using an approved authenticated encryption method or by combining an approved encryption method with an approved MAC algorithm.</t>
        </is>
      </c>
      <c r="E16" s="17" t="n">
        <v>2</v>
      </c>
      <c r="F16" s="39" t="inlineStr">
        <is>
          <t>Partially Compliant</t>
        </is>
      </c>
      <c r="G16" s="16" t="inlineStr">
        <is>
          <t>BCrypt, HMAC-SHA256 JWT and SHA-256 integrity hashes use platform libraries; formal crypto inventory/key lifecycle is incomplete.</t>
        </is>
      </c>
      <c r="H16" s="16" t="inlineStr">
        <is>
          <t>ghostreport/src/main/java/com/ghostreport/service/JwtService.java; ghostreport/src/main/java/com/ghostreport/service/BackupService.java</t>
        </is>
      </c>
    </row>
    <row r="17" ht="60" customHeight="1" s="35">
      <c r="A17" s="19" t="inlineStr">
        <is>
          <t>V11.3</t>
        </is>
      </c>
      <c r="B17" s="19" t="inlineStr">
        <is>
          <t>Encryption Algorithms</t>
        </is>
      </c>
      <c r="C17" s="20" t="inlineStr">
        <is>
          <t>V11.3.4</t>
        </is>
      </c>
      <c r="D17" s="21" t="inlineStr">
        <is>
          <t>Verify that nonces, initialization vectors, and other single-use numbers are not used for more than one encryption key and data-element pair. The method of generation must be appropriate for the algorithm being used.</t>
        </is>
      </c>
      <c r="E17" s="23" t="n">
        <v>3</v>
      </c>
      <c r="F17" s="39" t="inlineStr">
        <is>
          <t>Partially Compliant</t>
        </is>
      </c>
      <c r="G17" s="21" t="inlineStr">
        <is>
          <t>BCrypt, HMAC-SHA256 JWT and SHA-256 integrity hashes use platform libraries; formal crypto inventory/key lifecycle is incomplete.</t>
        </is>
      </c>
      <c r="H17" s="21" t="inlineStr">
        <is>
          <t>ghostreport/src/main/java/com/ghostreport/service/JwtService.java; ghostreport/src/main/java/com/ghostreport/service/BackupService.java</t>
        </is>
      </c>
    </row>
    <row r="18" ht="30" customHeight="1" s="35">
      <c r="A18" s="14" t="inlineStr">
        <is>
          <t>V11.3</t>
        </is>
      </c>
      <c r="B18" s="14" t="inlineStr">
        <is>
          <t>Encryption Algorithms</t>
        </is>
      </c>
      <c r="C18" s="15" t="inlineStr">
        <is>
          <t>V11.3.5</t>
        </is>
      </c>
      <c r="D18" s="16" t="inlineStr">
        <is>
          <t>Verify that any combination of an encryption algorithm and a MAC algorithm is operating in encrypt-then-MAC mode.</t>
        </is>
      </c>
      <c r="E18" s="23" t="n">
        <v>3</v>
      </c>
      <c r="F18" s="39" t="inlineStr">
        <is>
          <t>Partially Compliant</t>
        </is>
      </c>
      <c r="G18" s="16" t="inlineStr">
        <is>
          <t>BCrypt, HMAC-SHA256 JWT and SHA-256 integrity hashes use platform libraries; formal crypto inventory/key lifecycle is incomplete.</t>
        </is>
      </c>
      <c r="H18" s="16" t="inlineStr">
        <is>
          <t>ghostreport/src/main/java/com/ghostreport/service/JwtService.java; ghostreport/src/main/java/com/ghostreport/service/BackupService.java</t>
        </is>
      </c>
    </row>
    <row r="19" ht="18" customHeight="1" s="35">
      <c r="A19" s="13" t="inlineStr">
        <is>
          <t>V11.4</t>
        </is>
      </c>
      <c r="B19" s="13" t="inlineStr">
        <is>
          <t>Hashing and Hash-based Functions</t>
        </is>
      </c>
      <c r="C19" s="13" t="n"/>
      <c r="D19" s="13" t="n"/>
      <c r="E19" s="13" t="n"/>
      <c r="F19" s="13" t="n"/>
      <c r="G19" s="13" t="n"/>
      <c r="H19" s="13" t="n"/>
    </row>
    <row r="20" ht="60" customHeight="1" s="35">
      <c r="A20" s="14" t="inlineStr">
        <is>
          <t>V11.4</t>
        </is>
      </c>
      <c r="B20" s="14" t="inlineStr">
        <is>
          <t>Hashing and Hash-based Functions</t>
        </is>
      </c>
      <c r="C20" s="15" t="inlineStr">
        <is>
          <t>V11.4.1</t>
        </is>
      </c>
      <c r="D20" s="16" t="inlineStr">
        <is>
          <t>Verify that only approved hash functions are used for general cryptographic use cases, including digital signatures, HMAC, KDF, and random bit generation. Disallowed hash functions, such as MD5, must not be used for any cryptographic purpose.</t>
        </is>
      </c>
      <c r="E20" s="22" t="n">
        <v>1</v>
      </c>
      <c r="F20" s="39" t="inlineStr">
        <is>
          <t>Partially Compliant</t>
        </is>
      </c>
      <c r="G20" s="16" t="inlineStr">
        <is>
          <t>BCrypt, HMAC-SHA256 JWT and SHA-256 integrity hashes use platform libraries; formal crypto inventory/key lifecycle is incomplete.</t>
        </is>
      </c>
      <c r="H20" s="16" t="inlineStr">
        <is>
          <t>ghostreport/src/main/java/com/ghostreport/service/JwtService.java; ghostreport/src/main/java/com/ghostreport/service/BackupService.java</t>
        </is>
      </c>
    </row>
    <row r="21" ht="90" customHeight="1" s="35">
      <c r="A21" s="19" t="inlineStr">
        <is>
          <t>V11.4</t>
        </is>
      </c>
      <c r="B21" s="19" t="inlineStr">
        <is>
          <t>Hashing and Hash-based Functions</t>
        </is>
      </c>
      <c r="C21" s="20" t="inlineStr">
        <is>
          <t>V11.4.2</t>
        </is>
      </c>
      <c r="D21" s="21"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17" t="n">
        <v>2</v>
      </c>
      <c r="F21" s="39" t="inlineStr">
        <is>
          <t>Partially Compliant</t>
        </is>
      </c>
      <c r="G21" s="21" t="inlineStr">
        <is>
          <t>BCrypt, HMAC-SHA256 JWT and SHA-256 integrity hashes use platform libraries; formal crypto inventory/key lifecycle is incomplete.</t>
        </is>
      </c>
      <c r="H21" s="21" t="inlineStr">
        <is>
          <t>ghostreport/src/main/java/com/ghostreport/service/JwtService.java; ghostreport/src/main/java/com/ghostreport/service/BackupService.java</t>
        </is>
      </c>
    </row>
    <row r="22" ht="90" customHeight="1" s="35">
      <c r="A22" s="14" t="inlineStr">
        <is>
          <t>V11.4</t>
        </is>
      </c>
      <c r="B22" s="14" t="inlineStr">
        <is>
          <t>Hashing and Hash-based Functions</t>
        </is>
      </c>
      <c r="C22" s="15" t="inlineStr">
        <is>
          <t>V11.4.3</t>
        </is>
      </c>
      <c r="D22" s="16"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17" t="n">
        <v>2</v>
      </c>
      <c r="F22" s="39" t="inlineStr">
        <is>
          <t>Partially Compliant</t>
        </is>
      </c>
      <c r="G22" s="16" t="inlineStr">
        <is>
          <t>BCrypt, HMAC-SHA256 JWT and SHA-256 integrity hashes use platform libraries; formal crypto inventory/key lifecycle is incomplete.</t>
        </is>
      </c>
      <c r="H22" s="16" t="inlineStr">
        <is>
          <t>ghostreport/src/main/java/com/ghostreport/service/JwtService.java; ghostreport/src/main/java/com/ghostreport/service/BackupService.java</t>
        </is>
      </c>
    </row>
    <row r="23" ht="75" customHeight="1" s="35">
      <c r="A23" s="19" t="inlineStr">
        <is>
          <t>V11.4</t>
        </is>
      </c>
      <c r="B23" s="19" t="inlineStr">
        <is>
          <t>Hashing and Hash-based Functions</t>
        </is>
      </c>
      <c r="C23" s="20" t="inlineStr">
        <is>
          <t>V11.4.4</t>
        </is>
      </c>
      <c r="D23" s="21"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17" t="n">
        <v>2</v>
      </c>
      <c r="F23" s="39" t="inlineStr">
        <is>
          <t>Partially Compliant</t>
        </is>
      </c>
      <c r="G23" s="21" t="inlineStr">
        <is>
          <t>BCrypt, HMAC-SHA256 JWT and SHA-256 integrity hashes use platform libraries; formal crypto inventory/key lifecycle is incomplete.</t>
        </is>
      </c>
      <c r="H23" s="21" t="inlineStr">
        <is>
          <t>ghostreport/src/main/java/com/ghostreport/service/JwtService.java; ghostreport/src/main/java/com/ghostreport/service/BackupService.java</t>
        </is>
      </c>
    </row>
    <row r="24" ht="18" customHeight="1" s="35">
      <c r="A24" s="13" t="inlineStr">
        <is>
          <t>V11.5</t>
        </is>
      </c>
      <c r="B24" s="13" t="inlineStr">
        <is>
          <t>Random Values</t>
        </is>
      </c>
      <c r="C24" s="13" t="n"/>
      <c r="D24" s="13" t="n"/>
      <c r="E24" s="13" t="n"/>
      <c r="F24" s="13" t="n"/>
      <c r="G24" s="13" t="n"/>
      <c r="H24" s="13" t="n"/>
    </row>
    <row r="25" ht="75" customHeight="1" s="35">
      <c r="A25" s="14" t="inlineStr">
        <is>
          <t>V11.5</t>
        </is>
      </c>
      <c r="B25" s="14" t="inlineStr">
        <is>
          <t>Random Values</t>
        </is>
      </c>
      <c r="C25" s="15" t="inlineStr">
        <is>
          <t>V11.5.1</t>
        </is>
      </c>
      <c r="D25" s="16"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17" t="n">
        <v>2</v>
      </c>
      <c r="F25" s="39" t="inlineStr">
        <is>
          <t>Partially Compliant</t>
        </is>
      </c>
      <c r="G25" s="16" t="inlineStr">
        <is>
          <t>BCrypt, HMAC-SHA256 JWT and SHA-256 integrity hashes use platform libraries; formal crypto inventory/key lifecycle is incomplete.</t>
        </is>
      </c>
      <c r="H25" s="16" t="inlineStr">
        <is>
          <t>ghostreport/src/main/java/com/ghostreport/service/JwtService.java; ghostreport/src/main/java/com/ghostreport/service/BackupService.java</t>
        </is>
      </c>
    </row>
    <row r="26" ht="45" customHeight="1" s="35">
      <c r="A26" s="19" t="inlineStr">
        <is>
          <t>V11.5</t>
        </is>
      </c>
      <c r="B26" s="19" t="inlineStr">
        <is>
          <t>Random Values</t>
        </is>
      </c>
      <c r="C26" s="20" t="inlineStr">
        <is>
          <t>V11.5.2</t>
        </is>
      </c>
      <c r="D26" s="21" t="inlineStr">
        <is>
          <t>Verify that the random number generation mechanism in use is designed to work securely, even under heavy demand.</t>
        </is>
      </c>
      <c r="E26" s="23" t="n">
        <v>3</v>
      </c>
      <c r="F26" s="39" t="inlineStr">
        <is>
          <t>Partially Compliant</t>
        </is>
      </c>
      <c r="G26" s="21" t="inlineStr">
        <is>
          <t>BCrypt, HMAC-SHA256 JWT and SHA-256 integrity hashes use platform libraries; formal crypto inventory/key lifecycle is incomplete.</t>
        </is>
      </c>
      <c r="H26" s="21" t="inlineStr">
        <is>
          <t>ghostreport/src/main/java/com/ghostreport/service/JwtService.java; ghostreport/src/main/java/com/ghostreport/service/BackupService.java</t>
        </is>
      </c>
    </row>
    <row r="27" ht="18" customHeight="1" s="35">
      <c r="A27" s="13" t="inlineStr">
        <is>
          <t>V11.6</t>
        </is>
      </c>
      <c r="B27" s="13" t="inlineStr">
        <is>
          <t>Public Key Cryptography</t>
        </is>
      </c>
      <c r="C27" s="13" t="n"/>
      <c r="D27" s="13" t="n"/>
      <c r="E27" s="13" t="n"/>
      <c r="F27" s="13" t="n"/>
      <c r="G27" s="13" t="n"/>
      <c r="H27" s="13" t="n"/>
    </row>
    <row r="28" ht="90" customHeight="1" s="35">
      <c r="A28" s="14" t="inlineStr">
        <is>
          <t>V11.6</t>
        </is>
      </c>
      <c r="B28" s="14" t="inlineStr">
        <is>
          <t>Public Key Cryptography</t>
        </is>
      </c>
      <c r="C28" s="15" t="inlineStr">
        <is>
          <t>V11.6.1</t>
        </is>
      </c>
      <c r="D28" s="16"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17" t="n">
        <v>2</v>
      </c>
      <c r="F28" s="39" t="inlineStr">
        <is>
          <t>Partially Compliant</t>
        </is>
      </c>
      <c r="G28" s="16" t="inlineStr">
        <is>
          <t>BCrypt, HMAC-SHA256 JWT and SHA-256 integrity hashes use platform libraries; formal crypto inventory/key lifecycle is incomplete.</t>
        </is>
      </c>
      <c r="H28" s="16" t="inlineStr">
        <is>
          <t>ghostreport/src/main/java/com/ghostreport/service/JwtService.java; ghostreport/src/main/java/com/ghostreport/service/BackupService.java</t>
        </is>
      </c>
    </row>
    <row r="29" ht="75" customHeight="1" s="35">
      <c r="A29" s="19" t="inlineStr">
        <is>
          <t>V11.6</t>
        </is>
      </c>
      <c r="B29" s="19" t="inlineStr">
        <is>
          <t>Public Key Cryptography</t>
        </is>
      </c>
      <c r="C29" s="20" t="inlineStr">
        <is>
          <t>V11.6.2</t>
        </is>
      </c>
      <c r="D29" s="21"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23" t="n">
        <v>3</v>
      </c>
      <c r="F29" s="39" t="inlineStr">
        <is>
          <t>Partially Compliant</t>
        </is>
      </c>
      <c r="G29" s="21" t="inlineStr">
        <is>
          <t>BCrypt, HMAC-SHA256 JWT and SHA-256 integrity hashes use platform libraries; formal crypto inventory/key lifecycle is incomplete.</t>
        </is>
      </c>
      <c r="H29" s="21" t="inlineStr">
        <is>
          <t>ghostreport/src/main/java/com/ghostreport/service/JwtService.java; ghostreport/src/main/java/com/ghostreport/service/BackupService.java</t>
        </is>
      </c>
    </row>
    <row r="30" ht="18" customHeight="1" s="35">
      <c r="A30" s="13" t="inlineStr">
        <is>
          <t>V11.7</t>
        </is>
      </c>
      <c r="B30" s="13" t="inlineStr">
        <is>
          <t>In-Use Data Cryptography</t>
        </is>
      </c>
      <c r="C30" s="13" t="n"/>
      <c r="D30" s="13" t="n"/>
      <c r="E30" s="13" t="n"/>
      <c r="F30" s="13" t="n"/>
      <c r="G30" s="13" t="n"/>
      <c r="H30" s="13" t="n"/>
    </row>
    <row r="31" ht="45" customHeight="1" s="35">
      <c r="A31" s="14" t="inlineStr">
        <is>
          <t>V11.7</t>
        </is>
      </c>
      <c r="B31" s="14" t="inlineStr">
        <is>
          <t>In-Use Data Cryptography</t>
        </is>
      </c>
      <c r="C31" s="15" t="inlineStr">
        <is>
          <t>V11.7.1</t>
        </is>
      </c>
      <c r="D31" s="16" t="inlineStr">
        <is>
          <t>Verify that full memory encryption is in use that protects sensitive data while it is in use, preventing access by unauthorized users or processes.</t>
        </is>
      </c>
      <c r="E31" s="23" t="n">
        <v>3</v>
      </c>
      <c r="F31" s="39" t="inlineStr">
        <is>
          <t>Partially Compliant</t>
        </is>
      </c>
      <c r="G31" s="16" t="inlineStr">
        <is>
          <t>BCrypt, HMAC-SHA256 JWT and SHA-256 integrity hashes use platform libraries; formal crypto inventory/key lifecycle is incomplete.</t>
        </is>
      </c>
      <c r="H31" s="16" t="inlineStr">
        <is>
          <t>ghostreport/src/main/java/com/ghostreport/service/JwtService.java; ghostreport/src/main/java/com/ghostreport/service/BackupService.java</t>
        </is>
      </c>
    </row>
    <row r="32" ht="45" customHeight="1" s="35">
      <c r="A32" s="19" t="inlineStr">
        <is>
          <t>V11.7</t>
        </is>
      </c>
      <c r="B32" s="19" t="inlineStr">
        <is>
          <t>In-Use Data Cryptography</t>
        </is>
      </c>
      <c r="C32" s="20" t="inlineStr">
        <is>
          <t>V11.7.2</t>
        </is>
      </c>
      <c r="D32" s="21" t="inlineStr">
        <is>
          <t>Verify that data minimization ensures the minimal amount of data is exposed during processing, and ensure that data is encrypted immediately after use or as soon as feasible.</t>
        </is>
      </c>
      <c r="E32" s="23" t="n">
        <v>3</v>
      </c>
      <c r="F32" s="39" t="inlineStr">
        <is>
          <t>Partially Compliant</t>
        </is>
      </c>
      <c r="G32" s="21" t="inlineStr">
        <is>
          <t>BCrypt, HMAC-SHA256 JWT and SHA-256 integrity hashes use platform libraries; formal crypto inventory/key lifecycle is incomplete.</t>
        </is>
      </c>
      <c r="H32" s="21" t="inlineStr">
        <is>
          <t>ghostreport/src/main/java/com/ghostreport/service/JwtService.java; ghostreport/src/main/java/com/ghostreport/service/BackupService.java</t>
        </is>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2"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6"/>
  <sheetViews>
    <sheetView topLeftCell="A6" zoomScale="80" zoomScaleNormal="80" workbookViewId="0">
      <selection activeCell="F13" sqref="F13"/>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V12.1</t>
        </is>
      </c>
      <c r="B2" s="13" t="inlineStr">
        <is>
          <t>General TLS Security Guidance</t>
        </is>
      </c>
      <c r="C2" s="13" t="n"/>
      <c r="D2" s="13" t="n"/>
      <c r="E2" s="13" t="n"/>
      <c r="F2" s="13" t="n"/>
      <c r="G2" s="13" t="n"/>
      <c r="H2" s="13" t="n"/>
    </row>
    <row r="3" ht="45" customHeight="1" s="35">
      <c r="A3" s="14" t="inlineStr">
        <is>
          <t>V12.1</t>
        </is>
      </c>
      <c r="B3" s="14" t="inlineStr">
        <is>
          <t>General TLS Security Guidance</t>
        </is>
      </c>
      <c r="C3" s="15" t="inlineStr">
        <is>
          <t>V12.1.1</t>
        </is>
      </c>
      <c r="D3" s="16" t="inlineStr">
        <is>
          <t>Verify that only the latest recommended versions of the TLS protocol are enabled, such as TLS 1.2 and TLS 1.3. The latest version of the TLS protocol must be the preferred option.</t>
        </is>
      </c>
      <c r="E3" s="22" t="n">
        <v>1</v>
      </c>
      <c r="F3" s="39" t="inlineStr">
        <is>
          <t>Partially Compliant</t>
        </is>
      </c>
      <c r="G3" s="16" t="inlineStr">
        <is>
          <t>HSTS is configured and installation docs require TLS at deployment; local CI/DAST evidence does not prove production TLS configuration.</t>
        </is>
      </c>
      <c r="H3" s="16" t="inlineStr">
        <is>
          <t>ghostreport/src/main/java/com/ghostreport/security/SecurityConfig.java; docs/SECURE_INSTALLATION.md</t>
        </is>
      </c>
    </row>
    <row r="4" ht="45" customHeight="1" s="35">
      <c r="A4" s="19" t="inlineStr">
        <is>
          <t>V12.1</t>
        </is>
      </c>
      <c r="B4" s="19" t="inlineStr">
        <is>
          <t>General TLS Security Guidance</t>
        </is>
      </c>
      <c r="C4" s="20" t="inlineStr">
        <is>
          <t>V12.1.2</t>
        </is>
      </c>
      <c r="D4" s="21" t="inlineStr">
        <is>
          <t>Verify that only recommended cipher suites are enabled, with the strongest cipher suites set as preferred. L3 applications must only support cipher suites which provide forward secrecy.</t>
        </is>
      </c>
      <c r="E4" s="17" t="n">
        <v>2</v>
      </c>
      <c r="F4" s="39" t="inlineStr">
        <is>
          <t>Partially Compliant</t>
        </is>
      </c>
      <c r="G4" s="21" t="inlineStr">
        <is>
          <t>HSTS is configured and installation docs require TLS at deployment; local CI/DAST evidence does not prove production TLS configuration.</t>
        </is>
      </c>
      <c r="H4" s="21" t="inlineStr">
        <is>
          <t>ghostreport/src/main/java/com/ghostreport/security/SecurityConfig.java; docs/SECURE_INSTALLATION.md</t>
        </is>
      </c>
    </row>
    <row r="5" ht="45" customHeight="1" s="35">
      <c r="A5" s="14" t="inlineStr">
        <is>
          <t>V12.1</t>
        </is>
      </c>
      <c r="B5" s="14" t="inlineStr">
        <is>
          <t>General TLS Security Guidance</t>
        </is>
      </c>
      <c r="C5" s="15" t="inlineStr">
        <is>
          <t>V12.1.3</t>
        </is>
      </c>
      <c r="D5" s="16" t="inlineStr">
        <is>
          <t>Verify that the application validates that mTLS client certificates are trusted before using the certificate identity for authentication or authorization.</t>
        </is>
      </c>
      <c r="E5" s="17" t="n">
        <v>2</v>
      </c>
      <c r="F5" s="42" t="inlineStr">
        <is>
          <t>Not Applicable</t>
        </is>
      </c>
      <c r="G5" s="16" t="inlineStr">
        <is>
          <t>GhostReport does not use mutual TLS or client certificates for authentication/authorization in the current architecture.</t>
        </is>
      </c>
      <c r="H5" s="16" t="inlineStr">
        <is>
          <t>docs/ASVS_EVIDENCE.md</t>
        </is>
      </c>
    </row>
    <row r="6" ht="45" customHeight="1" s="35">
      <c r="A6" s="19" t="inlineStr">
        <is>
          <t>V12.1</t>
        </is>
      </c>
      <c r="B6" s="19" t="inlineStr">
        <is>
          <t>General TLS Security Guidance</t>
        </is>
      </c>
      <c r="C6" s="20" t="inlineStr">
        <is>
          <t>V12.1.4</t>
        </is>
      </c>
      <c r="D6" s="21" t="inlineStr">
        <is>
          <t>Verify that proper certification revocation, such as Online Certificate Status Protocol (OCSP) Stapling, is enabled and configured.</t>
        </is>
      </c>
      <c r="E6" s="23" t="n">
        <v>3</v>
      </c>
      <c r="F6" s="39" t="inlineStr">
        <is>
          <t>Partially Compliant</t>
        </is>
      </c>
      <c r="G6" s="21" t="inlineStr">
        <is>
          <t>HSTS is configured and installation docs require TLS at deployment; local CI/DAST evidence does not prove production TLS configuration.</t>
        </is>
      </c>
      <c r="H6" s="21" t="inlineStr">
        <is>
          <t>ghostreport/src/main/java/com/ghostreport/security/SecurityConfig.java; docs/SECURE_INSTALLATION.md</t>
        </is>
      </c>
    </row>
    <row r="7" ht="60" customHeight="1" s="35">
      <c r="A7" s="14" t="inlineStr">
        <is>
          <t>V12.1</t>
        </is>
      </c>
      <c r="B7" s="14" t="inlineStr">
        <is>
          <t>General TLS Security Guidance</t>
        </is>
      </c>
      <c r="C7" s="15" t="inlineStr">
        <is>
          <t>V12.1.5</t>
        </is>
      </c>
      <c r="D7" s="16" t="inlineStr">
        <is>
          <t>Verify that Encrypted Client Hello (ECH) is enabled in the application's TLS settings to prevent exposure of sensitive metadata, such as the Server Name Indication (SNI), during TLS handshake processes.</t>
        </is>
      </c>
      <c r="E7" s="23" t="n">
        <v>3</v>
      </c>
      <c r="F7" s="39" t="inlineStr">
        <is>
          <t>Partially Compliant</t>
        </is>
      </c>
      <c r="G7" s="16" t="inlineStr">
        <is>
          <t>HSTS is configured and installation docs require TLS at deployment; local CI/DAST evidence does not prove production TLS configuration.</t>
        </is>
      </c>
      <c r="H7" s="16" t="inlineStr">
        <is>
          <t>ghostreport/src/main/java/com/ghostreport/security/SecurityConfig.java; docs/SECURE_INSTALLATION.md</t>
        </is>
      </c>
    </row>
    <row r="8" ht="18" customHeight="1" s="35">
      <c r="A8" s="13" t="inlineStr">
        <is>
          <t>V12.2</t>
        </is>
      </c>
      <c r="B8" s="13" t="inlineStr">
        <is>
          <t>HTTPS Communication with External Facing Services</t>
        </is>
      </c>
      <c r="C8" s="13" t="n"/>
      <c r="D8" s="13" t="n"/>
      <c r="E8" s="13" t="n"/>
      <c r="F8" s="13" t="n"/>
      <c r="G8" s="13" t="n"/>
      <c r="H8" s="13" t="n"/>
    </row>
    <row r="9" ht="60" customHeight="1" s="35">
      <c r="A9" s="14" t="inlineStr">
        <is>
          <t>V12.2</t>
        </is>
      </c>
      <c r="B9" s="14" t="inlineStr">
        <is>
          <t>HTTPS Communication with External Facing Services</t>
        </is>
      </c>
      <c r="C9" s="15" t="inlineStr">
        <is>
          <t>V12.2.1</t>
        </is>
      </c>
      <c r="D9" s="16" t="inlineStr">
        <is>
          <t>Verify that TLS is used for all connectivity between a client and external facing, HTTP-based services, and does not fall back to insecure or unencrypted communications.</t>
        </is>
      </c>
      <c r="E9" s="22" t="n">
        <v>1</v>
      </c>
      <c r="F9" s="39" t="inlineStr">
        <is>
          <t>Partially Compliant</t>
        </is>
      </c>
      <c r="G9" s="16" t="inlineStr">
        <is>
          <t>HSTS is configured and installation docs require TLS at deployment; local CI/DAST evidence does not prove production TLS configuration.</t>
        </is>
      </c>
      <c r="H9" s="16" t="inlineStr">
        <is>
          <t>ghostreport/src/main/java/com/ghostreport/security/SecurityConfig.java; docs/SECURE_INSTALLATION.md</t>
        </is>
      </c>
    </row>
    <row r="10" ht="30" customHeight="1" s="35">
      <c r="A10" s="19" t="inlineStr">
        <is>
          <t>V12.2</t>
        </is>
      </c>
      <c r="B10" s="19" t="inlineStr">
        <is>
          <t>HTTPS Communication with External Facing Services</t>
        </is>
      </c>
      <c r="C10" s="20" t="inlineStr">
        <is>
          <t>V12.2.2</t>
        </is>
      </c>
      <c r="D10" s="21" t="inlineStr">
        <is>
          <t>Verify that external facing services use publicly trusted TLS certificates.</t>
        </is>
      </c>
      <c r="E10" s="22" t="n">
        <v>1</v>
      </c>
      <c r="F10" s="39" t="inlineStr">
        <is>
          <t>Partially Compliant</t>
        </is>
      </c>
      <c r="G10" s="21" t="inlineStr">
        <is>
          <t>HSTS is configured and installation docs require TLS at deployment; local CI/DAST evidence does not prove production TLS configuration.</t>
        </is>
      </c>
      <c r="H10" s="21" t="inlineStr">
        <is>
          <t>ghostreport/src/main/java/com/ghostreport/security/SecurityConfig.java; docs/SECURE_INSTALLATION.md</t>
        </is>
      </c>
    </row>
    <row r="11" ht="18" customHeight="1" s="35">
      <c r="A11" s="13" t="inlineStr">
        <is>
          <t>V12.3</t>
        </is>
      </c>
      <c r="B11" s="13" t="inlineStr">
        <is>
          <t>General Service to Service Communication Security</t>
        </is>
      </c>
      <c r="C11" s="13" t="n"/>
      <c r="D11" s="13" t="n"/>
      <c r="E11" s="13" t="n"/>
      <c r="F11" s="13" t="n"/>
      <c r="G11" s="13" t="n"/>
      <c r="H11" s="13" t="n"/>
    </row>
    <row r="12" ht="90" customHeight="1" s="35">
      <c r="A12" s="14" t="inlineStr">
        <is>
          <t>V12.3</t>
        </is>
      </c>
      <c r="B12" s="14" t="inlineStr">
        <is>
          <t>General Service to Service Communication Security</t>
        </is>
      </c>
      <c r="C12" s="15" t="inlineStr">
        <is>
          <t>V12.3.1</t>
        </is>
      </c>
      <c r="D12" s="16"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17" t="n">
        <v>2</v>
      </c>
      <c r="F12" s="39" t="inlineStr">
        <is>
          <t>Partially Compliant</t>
        </is>
      </c>
      <c r="G12" s="16" t="inlineStr">
        <is>
          <t>HSTS is configured and installation docs require TLS at deployment; local CI/DAST evidence does not prove production TLS configuration.</t>
        </is>
      </c>
      <c r="H12" s="16" t="inlineStr">
        <is>
          <t>ghostreport/src/main/java/com/ghostreport/security/SecurityConfig.java; docs/SECURE_INSTALLATION.md</t>
        </is>
      </c>
    </row>
    <row r="13" ht="30" customHeight="1" s="35">
      <c r="A13" s="19" t="inlineStr">
        <is>
          <t>V12.3</t>
        </is>
      </c>
      <c r="B13" s="19" t="inlineStr">
        <is>
          <t>General Service to Service Communication Security</t>
        </is>
      </c>
      <c r="C13" s="20" t="inlineStr">
        <is>
          <t>V12.3.2</t>
        </is>
      </c>
      <c r="D13" s="21" t="inlineStr">
        <is>
          <t>Verify that TLS clients validate certificates received before communicating with a TLS server.</t>
        </is>
      </c>
      <c r="E13" s="17" t="n">
        <v>2</v>
      </c>
      <c r="F13" s="39" t="inlineStr">
        <is>
          <t>Partially Compliant</t>
        </is>
      </c>
      <c r="G13" s="21" t="inlineStr">
        <is>
          <t>HSTS is configured and installation docs require TLS at deployment; local CI/DAST evidence does not prove production TLS configuration.</t>
        </is>
      </c>
      <c r="H13" s="21" t="inlineStr">
        <is>
          <t>ghostreport/src/main/java/com/ghostreport/security/SecurityConfig.java; docs/SECURE_INSTALLATION.md</t>
        </is>
      </c>
    </row>
    <row r="14" ht="60" customHeight="1" s="35">
      <c r="A14" s="14" t="inlineStr">
        <is>
          <t>V12.3</t>
        </is>
      </c>
      <c r="B14" s="14" t="inlineStr">
        <is>
          <t>General Service to Service Communication Security</t>
        </is>
      </c>
      <c r="C14" s="15" t="inlineStr">
        <is>
          <t>V12.3.3</t>
        </is>
      </c>
      <c r="D14" s="16" t="inlineStr">
        <is>
          <t>Verify that TLS or another appropriate transport encryption mechanism used for all connectivity between internal, HTTP-based services within the application, and does not fall back to insecure or unencrypted communications.</t>
        </is>
      </c>
      <c r="E14" s="17" t="n">
        <v>2</v>
      </c>
      <c r="F14" s="39" t="inlineStr">
        <is>
          <t>Partially Compliant</t>
        </is>
      </c>
      <c r="G14" s="16" t="inlineStr">
        <is>
          <t>HSTS is configured and installation docs require TLS at deployment; local CI/DAST evidence does not prove production TLS configuration.</t>
        </is>
      </c>
      <c r="H14" s="16" t="inlineStr">
        <is>
          <t>ghostreport/src/main/java/com/ghostreport/security/SecurityConfig.java; docs/SECURE_INSTALLATION.md</t>
        </is>
      </c>
    </row>
    <row r="15" ht="75" customHeight="1" s="35">
      <c r="A15" s="19" t="inlineStr">
        <is>
          <t>V12.3</t>
        </is>
      </c>
      <c r="B15" s="19" t="inlineStr">
        <is>
          <t>General Service to Service Communication Security</t>
        </is>
      </c>
      <c r="C15" s="20" t="inlineStr">
        <is>
          <t>V12.3.4</t>
        </is>
      </c>
      <c r="D15" s="21"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17" t="n">
        <v>2</v>
      </c>
      <c r="F15" s="39" t="inlineStr">
        <is>
          <t>Partially Compliant</t>
        </is>
      </c>
      <c r="G15" s="21" t="inlineStr">
        <is>
          <t>HSTS is configured and installation docs require TLS at deployment; local CI/DAST evidence does not prove production TLS configuration.</t>
        </is>
      </c>
      <c r="H15" s="21" t="inlineStr">
        <is>
          <t>ghostreport/src/main/java/com/ghostreport/security/SecurityConfig.java; docs/SECURE_INSTALLATION.md</t>
        </is>
      </c>
    </row>
    <row r="16" ht="120" customHeight="1" s="35">
      <c r="A16" s="14" t="inlineStr">
        <is>
          <t>V12.3</t>
        </is>
      </c>
      <c r="B16" s="14" t="inlineStr">
        <is>
          <t>General Service to Service Communication Security</t>
        </is>
      </c>
      <c r="C16" s="15" t="inlineStr">
        <is>
          <t>V12.3.5</t>
        </is>
      </c>
      <c r="D16" s="16"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23" t="n">
        <v>3</v>
      </c>
      <c r="F16" s="39" t="inlineStr">
        <is>
          <t>Partially Compliant</t>
        </is>
      </c>
      <c r="G16" s="16" t="inlineStr">
        <is>
          <t>HSTS is configured and installation docs require TLS at deployment; local CI/DAST evidence does not prove production TLS configuration.</t>
        </is>
      </c>
      <c r="H16" s="16" t="inlineStr">
        <is>
          <t>ghostreport/src/main/java/com/ghostreport/security/SecurityConfig.java; docs/SECURE_INSTALLATION.md</t>
        </is>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26"/>
  <sheetViews>
    <sheetView topLeftCell="A17" zoomScale="80" zoomScaleNormal="80" workbookViewId="0">
      <selection activeCell="H26" sqref="H26"/>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V13.1</t>
        </is>
      </c>
      <c r="B2" s="13" t="inlineStr">
        <is>
          <t>Configuration Documentation</t>
        </is>
      </c>
      <c r="C2" s="13" t="n"/>
      <c r="D2" s="13" t="n"/>
      <c r="E2" s="13" t="n"/>
      <c r="F2" s="13" t="n"/>
      <c r="G2" s="13" t="n"/>
      <c r="H2" s="13" t="n"/>
    </row>
    <row r="3" ht="75" customHeight="1" s="35">
      <c r="A3" s="14" t="inlineStr">
        <is>
          <t>V13.1</t>
        </is>
      </c>
      <c r="B3" s="14" t="inlineStr">
        <is>
          <t>Configuration Documentation</t>
        </is>
      </c>
      <c r="C3" s="15" t="inlineStr">
        <is>
          <t>V13.1.1</t>
        </is>
      </c>
      <c r="D3" s="16"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17" t="n">
        <v>2</v>
      </c>
      <c r="F3" s="39" t="inlineStr">
        <is>
          <t>Partially Compliant</t>
        </is>
      </c>
      <c r="G3" s="16" t="inlineStr">
        <is>
          <t>Profiles, environment secrets and fail-fast config validation exist; SCA still reports vulnerable dependencies requiring remediation/triage.</t>
        </is>
      </c>
      <c r="H3" s="16" t="inlineStr">
        <is>
          <t>ghostreport/src/main/resources/application.yaml; ghostreport/src/main/java/com/ghostreport/config/SecurityConfigurationValidator.java; Deliverables/Phase 2/Evidence/sca</t>
        </is>
      </c>
    </row>
    <row r="4" ht="30" customHeight="1" s="35">
      <c r="A4" s="19" t="inlineStr">
        <is>
          <t>V13.1</t>
        </is>
      </c>
      <c r="B4" s="19" t="inlineStr">
        <is>
          <t>Configuration Documentation</t>
        </is>
      </c>
      <c r="C4" s="20" t="inlineStr">
        <is>
          <t>V13.1.2</t>
        </is>
      </c>
      <c r="D4" s="21"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23" t="n">
        <v>3</v>
      </c>
      <c r="F4" s="39" t="inlineStr">
        <is>
          <t>Partially Compliant</t>
        </is>
      </c>
      <c r="G4" s="21" t="inlineStr">
        <is>
          <t>Profiles, environment secrets and fail-fast config validation exist; SCA still reports vulnerable dependencies requiring remediation/triage.</t>
        </is>
      </c>
      <c r="H4" s="21" t="inlineStr">
        <is>
          <t>ghostreport/src/main/resources/application.yaml; ghostreport/src/main/java/com/ghostreport/config/SecurityConfigurationValidator.java; Deliverables/Phase 2/Evidence/sca</t>
        </is>
      </c>
    </row>
    <row r="5" ht="150" customHeight="1" s="35">
      <c r="A5" s="14" t="inlineStr">
        <is>
          <t>V13.1</t>
        </is>
      </c>
      <c r="B5" s="14" t="inlineStr">
        <is>
          <t>Configuration Documentation</t>
        </is>
      </c>
      <c r="C5" s="15" t="inlineStr">
        <is>
          <t>V13.1.3</t>
        </is>
      </c>
      <c r="D5" s="16"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23" t="n">
        <v>3</v>
      </c>
      <c r="F5" s="39" t="inlineStr">
        <is>
          <t>Partially Compliant</t>
        </is>
      </c>
      <c r="G5" s="16" t="inlineStr">
        <is>
          <t>Profiles, environment secrets and fail-fast config validation exist; SCA still reports vulnerable dependencies requiring remediation/triage.</t>
        </is>
      </c>
      <c r="H5" s="16" t="inlineStr">
        <is>
          <t>ghostreport/src/main/resources/application.yaml; ghostreport/src/main/java/com/ghostreport/config/SecurityConfigurationValidator.java; Deliverables/Phase 2/Evidence/sca</t>
        </is>
      </c>
    </row>
    <row r="6" ht="60" customHeight="1" s="35">
      <c r="A6" s="19" t="inlineStr">
        <is>
          <t>V13.1</t>
        </is>
      </c>
      <c r="B6" s="19" t="inlineStr">
        <is>
          <t>Configuration Documentation</t>
        </is>
      </c>
      <c r="C6" s="20" t="inlineStr">
        <is>
          <t>V13.1.4</t>
        </is>
      </c>
      <c r="D6" s="21" t="inlineStr">
        <is>
          <t>Verify that the application's documentation defines the secrets that are critical for the security of the application and a schedule for rotating them, based on the organization's threat model and business requirements.</t>
        </is>
      </c>
      <c r="E6" s="23" t="n">
        <v>3</v>
      </c>
      <c r="F6" s="39" t="inlineStr">
        <is>
          <t>Partially Compliant</t>
        </is>
      </c>
      <c r="G6" s="21" t="inlineStr">
        <is>
          <t>Profiles, environment secrets and fail-fast config validation exist; SCA still reports vulnerable dependencies requiring remediation/triage.</t>
        </is>
      </c>
      <c r="H6" s="21" t="inlineStr">
        <is>
          <t>ghostreport/src/main/resources/application.yaml; ghostreport/src/main/java/com/ghostreport/config/SecurityConfigurationValidator.java; Deliverables/Phase 2/Evidence/sca</t>
        </is>
      </c>
    </row>
    <row r="7" ht="18" customHeight="1" s="35">
      <c r="A7" s="13" t="inlineStr">
        <is>
          <t>V13.2</t>
        </is>
      </c>
      <c r="B7" s="13" t="inlineStr">
        <is>
          <t>Backend Communication Configuration</t>
        </is>
      </c>
      <c r="C7" s="13" t="n"/>
      <c r="D7" s="13" t="n"/>
      <c r="E7" s="13" t="n"/>
      <c r="F7" s="13" t="n"/>
      <c r="G7" s="13" t="n"/>
      <c r="H7" s="13" t="n"/>
    </row>
    <row r="8" ht="105" customHeight="1" s="35">
      <c r="A8" s="14" t="inlineStr">
        <is>
          <t>V13.2</t>
        </is>
      </c>
      <c r="B8" s="14" t="inlineStr">
        <is>
          <t>Backend Communication Configuration</t>
        </is>
      </c>
      <c r="C8" s="15" t="inlineStr">
        <is>
          <t>V13.2.1</t>
        </is>
      </c>
      <c r="D8" s="16"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17" t="n">
        <v>2</v>
      </c>
      <c r="F8" s="39" t="inlineStr">
        <is>
          <t>Partially Compliant</t>
        </is>
      </c>
      <c r="G8" s="16" t="inlineStr">
        <is>
          <t>Profiles, environment secrets and fail-fast config validation exist; SCA still reports vulnerable dependencies requiring remediation/triage.</t>
        </is>
      </c>
      <c r="H8" s="16" t="inlineStr">
        <is>
          <t>ghostreport/src/main/resources/application.yaml; ghostreport/src/main/java/com/ghostreport/config/SecurityConfigurationValidator.java; Deliverables/Phase 2/Evidence/sca</t>
        </is>
      </c>
    </row>
    <row r="9" ht="60" customHeight="1" s="35">
      <c r="A9" s="19" t="inlineStr">
        <is>
          <t>V13.2</t>
        </is>
      </c>
      <c r="B9" s="19" t="inlineStr">
        <is>
          <t>Backend Communication Configuration</t>
        </is>
      </c>
      <c r="C9" s="20" t="inlineStr">
        <is>
          <t>V13.2.2</t>
        </is>
      </c>
      <c r="D9" s="21" t="inlineStr">
        <is>
          <t>Verify that communications between backend application components, including local or operating system services, APIs, middleware, and data layers, are performed with accounts assigned the least necessary privileges.</t>
        </is>
      </c>
      <c r="E9" s="17" t="n">
        <v>2</v>
      </c>
      <c r="F9" s="39" t="inlineStr">
        <is>
          <t>Partially Compliant</t>
        </is>
      </c>
      <c r="G9" s="21" t="inlineStr">
        <is>
          <t>Profiles, environment secrets and fail-fast config validation exist; SCA still reports vulnerable dependencies requiring remediation/triage.</t>
        </is>
      </c>
      <c r="H9" s="21" t="inlineStr">
        <is>
          <t>ghostreport/src/main/resources/application.yaml; ghostreport/src/main/java/com/ghostreport/config/SecurityConfigurationValidator.java; Deliverables/Phase 2/Evidence/sca</t>
        </is>
      </c>
    </row>
    <row r="10" ht="77.25" customHeight="1" s="35">
      <c r="A10" s="14" t="inlineStr">
        <is>
          <t>V13.2</t>
        </is>
      </c>
      <c r="B10" s="14" t="inlineStr">
        <is>
          <t>Backend Communication Configuration</t>
        </is>
      </c>
      <c r="C10" s="15" t="inlineStr">
        <is>
          <t>V13.2.3</t>
        </is>
      </c>
      <c r="D10" s="16" t="inlineStr">
        <is>
          <t>Verify that if a credential has to be used for service authentication, the credential being used by the consumer is not a default credential (e.g., root/root or admin/admin).</t>
        </is>
      </c>
      <c r="E10" s="17" t="n">
        <v>2</v>
      </c>
      <c r="F10" s="39" t="inlineStr">
        <is>
          <t>Partially Compliant</t>
        </is>
      </c>
      <c r="G10" s="16" t="inlineStr">
        <is>
          <t>Profiles, environment secrets and fail-fast config validation exist; SCA still reports vulnerable dependencies requiring remediation/triage.</t>
        </is>
      </c>
      <c r="H10" s="16" t="inlineStr">
        <is>
          <t>ghostreport/src/main/resources/application.yaml; ghostreport/src/main/java/com/ghostreport/config/SecurityConfigurationValidator.java; Deliverables/Phase 2/Evidence/sca</t>
        </is>
      </c>
    </row>
    <row r="11" ht="75" customHeight="1" s="35">
      <c r="A11" s="19" t="inlineStr">
        <is>
          <t>V13.2</t>
        </is>
      </c>
      <c r="B11" s="19" t="inlineStr">
        <is>
          <t>Backend Communication Configuration</t>
        </is>
      </c>
      <c r="C11" s="20" t="inlineStr">
        <is>
          <t>V13.2.4</t>
        </is>
      </c>
      <c r="D11" s="21"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17" t="n">
        <v>2</v>
      </c>
      <c r="F11" s="39" t="inlineStr">
        <is>
          <t>Partially Compliant</t>
        </is>
      </c>
      <c r="G11" s="21" t="inlineStr">
        <is>
          <t>Profiles, environment secrets and fail-fast config validation exist; SCA still reports vulnerable dependencies requiring remediation/triage.</t>
        </is>
      </c>
      <c r="H11" s="21" t="inlineStr">
        <is>
          <t>ghostreport/src/main/resources/application.yaml; ghostreport/src/main/java/com/ghostreport/config/SecurityConfigurationValidator.java; Deliverables/Phase 2/Evidence/sca</t>
        </is>
      </c>
    </row>
    <row r="12" ht="45" customHeight="1" s="35">
      <c r="A12" s="14" t="inlineStr">
        <is>
          <t>V13.2</t>
        </is>
      </c>
      <c r="B12" s="14" t="inlineStr">
        <is>
          <t>Backend Communication Configuration</t>
        </is>
      </c>
      <c r="C12" s="15" t="inlineStr">
        <is>
          <t>V13.2.5</t>
        </is>
      </c>
      <c r="D12" s="16" t="inlineStr">
        <is>
          <t>Verify that the web or application server is configured with an allowlist of resources or systems to which the server can send requests or load data or files from.</t>
        </is>
      </c>
      <c r="E12" s="17" t="n">
        <v>2</v>
      </c>
      <c r="F12" s="39" t="inlineStr">
        <is>
          <t>Partially Compliant</t>
        </is>
      </c>
      <c r="G12" s="16" t="inlineStr">
        <is>
          <t>Profiles, environment secrets and fail-fast config validation exist; SCA still reports vulnerable dependencies requiring remediation/triage.</t>
        </is>
      </c>
      <c r="H12" s="16" t="inlineStr">
        <is>
          <t>ghostreport/src/main/resources/application.yaml; ghostreport/src/main/java/com/ghostreport/config/SecurityConfigurationValidator.java; Deliverables/Phase 2/Evidence/sca</t>
        </is>
      </c>
    </row>
    <row r="13" ht="75" customHeight="1" s="35">
      <c r="A13" s="19" t="inlineStr">
        <is>
          <t>V13.2</t>
        </is>
      </c>
      <c r="B13" s="19" t="inlineStr">
        <is>
          <t>Backend Communication Configuration</t>
        </is>
      </c>
      <c r="C13" s="20" t="inlineStr">
        <is>
          <t>V13.2.6</t>
        </is>
      </c>
      <c r="D13" s="21"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23" t="n">
        <v>3</v>
      </c>
      <c r="F13" s="39" t="inlineStr">
        <is>
          <t>Partially Compliant</t>
        </is>
      </c>
      <c r="G13" s="21" t="inlineStr">
        <is>
          <t>Profiles, environment secrets and fail-fast config validation exist; SCA still reports vulnerable dependencies requiring remediation/triage.</t>
        </is>
      </c>
      <c r="H13" s="21" t="inlineStr">
        <is>
          <t>ghostreport/src/main/resources/application.yaml; ghostreport/src/main/java/com/ghostreport/config/SecurityConfigurationValidator.java; Deliverables/Phase 2/Evidence/sca</t>
        </is>
      </c>
    </row>
    <row r="14" ht="18" customHeight="1" s="35">
      <c r="A14" s="13" t="inlineStr">
        <is>
          <t>V13.3</t>
        </is>
      </c>
      <c r="B14" s="13" t="inlineStr">
        <is>
          <t>Secret Management</t>
        </is>
      </c>
      <c r="C14" s="13" t="n"/>
      <c r="D14" s="13" t="n"/>
      <c r="E14" s="13" t="n"/>
      <c r="F14" s="13" t="n"/>
      <c r="G14" s="13" t="n"/>
      <c r="H14" s="13" t="n"/>
    </row>
    <row r="15" ht="120" customHeight="1" s="35">
      <c r="A15" s="14" t="inlineStr">
        <is>
          <t>V13.3</t>
        </is>
      </c>
      <c r="B15" s="14" t="inlineStr">
        <is>
          <t>Secret Management</t>
        </is>
      </c>
      <c r="C15" s="15" t="inlineStr">
        <is>
          <t>V13.3.1</t>
        </is>
      </c>
      <c r="D15" s="16"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17" t="n">
        <v>2</v>
      </c>
      <c r="F15" s="40" t="inlineStr">
        <is>
          <t>Compliant</t>
        </is>
      </c>
      <c r="G15" s="16" t="inlineStr">
        <is>
          <t>Production-like profile requires external DB/JWT secrets and disables seed users.</t>
        </is>
      </c>
      <c r="H15" s="16" t="inlineStr">
        <is>
          <t>ghostreport/src/main/resources/application.yaml; ghostreport/src/main/java/com/ghostreport/config/SecurityConfigurationValidator.java</t>
        </is>
      </c>
    </row>
    <row r="16" ht="30" customHeight="1" s="35">
      <c r="A16" s="19" t="inlineStr">
        <is>
          <t>V13.3</t>
        </is>
      </c>
      <c r="B16" s="19" t="inlineStr">
        <is>
          <t>Secret Management</t>
        </is>
      </c>
      <c r="C16" s="20" t="inlineStr">
        <is>
          <t>V13.3.2</t>
        </is>
      </c>
      <c r="D16" s="21" t="inlineStr">
        <is>
          <t>Verify that access to secret assets adheres to the principle of least privilege.</t>
        </is>
      </c>
      <c r="E16" s="17" t="n">
        <v>2</v>
      </c>
      <c r="F16" s="39" t="inlineStr">
        <is>
          <t>Partially Compliant</t>
        </is>
      </c>
      <c r="G16" s="21" t="inlineStr">
        <is>
          <t>Profiles, environment secrets and fail-fast config validation exist; SCA still reports vulnerable dependencies requiring remediation/triage.</t>
        </is>
      </c>
      <c r="H16" s="21" t="inlineStr">
        <is>
          <t>ghostreport/src/main/resources/application.yaml; ghostreport/src/main/java/com/ghostreport/config/SecurityConfigurationValidator.java; Deliverables/Phase 2/Evidence/sca</t>
        </is>
      </c>
    </row>
    <row r="17" ht="30" customHeight="1" s="35">
      <c r="A17" s="14" t="inlineStr">
        <is>
          <t>V13.3</t>
        </is>
      </c>
      <c r="B17" s="14" t="inlineStr">
        <is>
          <t>Secret Management</t>
        </is>
      </c>
      <c r="C17" s="15" t="inlineStr">
        <is>
          <t>V13.3.3</t>
        </is>
      </c>
      <c r="D17" s="16" t="inlineStr">
        <is>
          <t>Verify that all cryptographic operations are performed using an isolated security module (such as a vault or hardware security module) to securely manage and protect key material from exposure outside of the security module.</t>
        </is>
      </c>
      <c r="E17" s="23" t="n">
        <v>3</v>
      </c>
      <c r="F17" s="39" t="inlineStr">
        <is>
          <t>Partially Compliant</t>
        </is>
      </c>
      <c r="G17" s="16" t="inlineStr">
        <is>
          <t>Profiles, environment secrets and fail-fast config validation exist; SCA still reports vulnerable dependencies requiring remediation/triage.</t>
        </is>
      </c>
      <c r="H17" s="16" t="inlineStr">
        <is>
          <t>ghostreport/src/main/resources/application.yaml; ghostreport/src/main/java/com/ghostreport/config/SecurityConfigurationValidator.java; Deliverables/Phase 2/Evidence/sca</t>
        </is>
      </c>
    </row>
    <row r="18" ht="30" customHeight="1" s="35">
      <c r="A18" s="19" t="inlineStr">
        <is>
          <t>V13.3</t>
        </is>
      </c>
      <c r="B18" s="19" t="inlineStr">
        <is>
          <t>Secret Management</t>
        </is>
      </c>
      <c r="C18" s="20" t="inlineStr">
        <is>
          <t>V13.3.4</t>
        </is>
      </c>
      <c r="D18" s="21" t="inlineStr">
        <is>
          <t>Verify that secrets are configured to expire and be rotated based on the application's documentation.</t>
        </is>
      </c>
      <c r="E18" s="23" t="n">
        <v>3</v>
      </c>
      <c r="F18" s="39" t="inlineStr">
        <is>
          <t>Partially Compliant</t>
        </is>
      </c>
      <c r="G18" s="21" t="inlineStr">
        <is>
          <t>Profiles, environment secrets and fail-fast config validation exist; SCA still reports vulnerable dependencies requiring remediation/triage.</t>
        </is>
      </c>
      <c r="H18" s="21" t="inlineStr">
        <is>
          <t>ghostreport/src/main/resources/application.yaml; ghostreport/src/main/java/com/ghostreport/config/SecurityConfigurationValidator.java; Deliverables/Phase 2/Evidence/sca</t>
        </is>
      </c>
    </row>
    <row r="19" ht="18" customHeight="1" s="35">
      <c r="A19" s="13" t="inlineStr">
        <is>
          <t>V13.4</t>
        </is>
      </c>
      <c r="B19" s="13" t="inlineStr">
        <is>
          <t>Unintended Information Leakage</t>
        </is>
      </c>
      <c r="C19" s="13" t="n"/>
      <c r="D19" s="13" t="n"/>
      <c r="E19" s="13" t="n"/>
      <c r="F19" s="13" t="n"/>
      <c r="G19" s="13" t="n"/>
      <c r="H19" s="13" t="n"/>
    </row>
    <row r="20" ht="60" customHeight="1" s="35">
      <c r="A20" s="14" t="inlineStr">
        <is>
          <t>V13.4</t>
        </is>
      </c>
      <c r="B20" s="14" t="inlineStr">
        <is>
          <t>Unintended Information Leakage</t>
        </is>
      </c>
      <c r="C20" s="15" t="inlineStr">
        <is>
          <t>V13.4.1</t>
        </is>
      </c>
      <c r="D20" s="16" t="inlineStr">
        <is>
          <t>Verify that the application is deployed either without any source control metadata, including the .git or .svn folders, or in a way that these folders are inaccessible both externally and to the application itself.</t>
        </is>
      </c>
      <c r="E20" s="22" t="n">
        <v>1</v>
      </c>
      <c r="F20" s="39" t="inlineStr">
        <is>
          <t>Partially Compliant</t>
        </is>
      </c>
      <c r="G20" s="16" t="inlineStr">
        <is>
          <t>Profiles, environment secrets and fail-fast config validation exist; SCA still reports vulnerable dependencies requiring remediation/triage.</t>
        </is>
      </c>
      <c r="H20" s="16" t="inlineStr">
        <is>
          <t>ghostreport/src/main/resources/application.yaml; ghostreport/src/main/java/com/ghostreport/config/SecurityConfigurationValidator.java; Deliverables/Phase 2/Evidence/sca</t>
        </is>
      </c>
    </row>
    <row r="21" ht="45" customHeight="1" s="35">
      <c r="A21" s="19" t="inlineStr">
        <is>
          <t>V13.4</t>
        </is>
      </c>
      <c r="B21" s="19" t="inlineStr">
        <is>
          <t>Unintended Information Leakage</t>
        </is>
      </c>
      <c r="C21" s="20" t="inlineStr">
        <is>
          <t>V13.4.2</t>
        </is>
      </c>
      <c r="D21" s="21" t="inlineStr">
        <is>
          <t>Verify that debug modes are disabled for all components in production environments to prevent exposure of debugging features and information leakage.</t>
        </is>
      </c>
      <c r="E21" s="17" t="n">
        <v>2</v>
      </c>
      <c r="F21" s="39" t="inlineStr">
        <is>
          <t>Partially Compliant</t>
        </is>
      </c>
      <c r="G21" s="21" t="inlineStr">
        <is>
          <t>Profiles, environment secrets and fail-fast config validation exist; SCA still reports vulnerable dependencies requiring remediation/triage.</t>
        </is>
      </c>
      <c r="H21" s="21" t="inlineStr">
        <is>
          <t>ghostreport/src/main/resources/application.yaml; ghostreport/src/main/java/com/ghostreport/config/SecurityConfigurationValidator.java; Deliverables/Phase 2/Evidence/sca</t>
        </is>
      </c>
    </row>
    <row r="22" ht="60" customHeight="1" s="35">
      <c r="A22" s="14" t="inlineStr">
        <is>
          <t>V13.4</t>
        </is>
      </c>
      <c r="B22" s="14" t="inlineStr">
        <is>
          <t>Unintended Information Leakage</t>
        </is>
      </c>
      <c r="C22" s="15" t="inlineStr">
        <is>
          <t>V13.4.3</t>
        </is>
      </c>
      <c r="D22" s="16" t="inlineStr">
        <is>
          <t>Verify that web servers do not expose directory listings to clients unless explicitly intended.</t>
        </is>
      </c>
      <c r="E22" s="17" t="n">
        <v>2</v>
      </c>
      <c r="F22" s="39" t="inlineStr">
        <is>
          <t>Partially Compliant</t>
        </is>
      </c>
      <c r="G22" s="16" t="inlineStr">
        <is>
          <t>Profiles, environment secrets and fail-fast config validation exist; SCA still reports vulnerable dependencies requiring remediation/triage.</t>
        </is>
      </c>
      <c r="H22" s="16" t="inlineStr">
        <is>
          <t>ghostreport/src/main/resources/application.yaml; ghostreport/src/main/java/com/ghostreport/config/SecurityConfigurationValidator.java; Deliverables/Phase 2/Evidence/sca</t>
        </is>
      </c>
    </row>
    <row r="23" ht="45" customHeight="1" s="35">
      <c r="A23" s="19" t="inlineStr">
        <is>
          <t>V13.4</t>
        </is>
      </c>
      <c r="B23" s="19" t="inlineStr">
        <is>
          <t>Unintended Information Leakage</t>
        </is>
      </c>
      <c r="C23" s="20" t="inlineStr">
        <is>
          <t>V13.4.4</t>
        </is>
      </c>
      <c r="D23" s="21" t="inlineStr">
        <is>
          <t>Verify that using the HTTP TRACE method is not supported in production environments, to avoid potential information leakage.</t>
        </is>
      </c>
      <c r="E23" s="17" t="n">
        <v>2</v>
      </c>
      <c r="F23" s="39" t="inlineStr">
        <is>
          <t>Partially Compliant</t>
        </is>
      </c>
      <c r="G23" s="21" t="inlineStr">
        <is>
          <t>Profiles, environment secrets and fail-fast config validation exist; SCA still reports vulnerable dependencies requiring remediation/triage.</t>
        </is>
      </c>
      <c r="H23" s="21" t="inlineStr">
        <is>
          <t>ghostreport/src/main/resources/application.yaml; ghostreport/src/main/java/com/ghostreport/config/SecurityConfigurationValidator.java; Deliverables/Phase 2/Evidence/sca</t>
        </is>
      </c>
    </row>
    <row r="24" ht="60" customHeight="1" s="35">
      <c r="A24" s="14" t="inlineStr">
        <is>
          <t>V13.4</t>
        </is>
      </c>
      <c r="B24" s="14" t="inlineStr">
        <is>
          <t>Unintended Information Leakage</t>
        </is>
      </c>
      <c r="C24" s="15" t="inlineStr">
        <is>
          <t>V13.4.5</t>
        </is>
      </c>
      <c r="D24" s="16" t="inlineStr">
        <is>
          <t>Verify that documentation (such as for internal APIs) and monitoring endpoints are not exposed unless explicitly intended.</t>
        </is>
      </c>
      <c r="E24" s="17" t="n">
        <v>2</v>
      </c>
      <c r="F24" s="39" t="inlineStr">
        <is>
          <t>Partially Compliant</t>
        </is>
      </c>
      <c r="G24" s="16" t="inlineStr">
        <is>
          <t>Profiles, environment secrets and fail-fast config validation exist; SCA still reports vulnerable dependencies requiring remediation/triage.</t>
        </is>
      </c>
      <c r="H24" s="16" t="inlineStr">
        <is>
          <t>ghostreport/src/main/resources/application.yaml; ghostreport/src/main/java/com/ghostreport/config/SecurityConfigurationValidator.java; Deliverables/Phase 2/Evidence/sca</t>
        </is>
      </c>
    </row>
    <row r="25" ht="60" customHeight="1" s="35">
      <c r="A25" s="19" t="inlineStr">
        <is>
          <t>V13.4</t>
        </is>
      </c>
      <c r="B25" s="19" t="inlineStr">
        <is>
          <t>Unintended Information Leakage</t>
        </is>
      </c>
      <c r="C25" s="20" t="inlineStr">
        <is>
          <t>V13.4.6</t>
        </is>
      </c>
      <c r="D25" s="21" t="inlineStr">
        <is>
          <t>Verify that the application does not expose detailed version information of backend components.</t>
        </is>
      </c>
      <c r="E25" s="23" t="n">
        <v>3</v>
      </c>
      <c r="F25" s="39" t="inlineStr">
        <is>
          <t>Partially Compliant</t>
        </is>
      </c>
      <c r="G25" s="21" t="inlineStr">
        <is>
          <t>Profiles, environment secrets and fail-fast config validation exist; SCA still reports vulnerable dependencies requiring remediation/triage.</t>
        </is>
      </c>
      <c r="H25" s="21" t="inlineStr">
        <is>
          <t>ghostreport/src/main/resources/application.yaml; ghostreport/src/main/java/com/ghostreport/config/SecurityConfigurationValidator.java; Deliverables/Phase 2/Evidence/sca</t>
        </is>
      </c>
    </row>
    <row r="26" ht="60" customHeight="1" s="35">
      <c r="A26" s="14" t="inlineStr">
        <is>
          <t>V13.4</t>
        </is>
      </c>
      <c r="B26" s="14" t="inlineStr">
        <is>
          <t>Unintended Information Leakage</t>
        </is>
      </c>
      <c r="C26" s="15" t="inlineStr">
        <is>
          <t>V13.4.7</t>
        </is>
      </c>
      <c r="D26" s="16" t="inlineStr">
        <is>
          <t>Verify that the web tier is configured to only serve files with specific file extensions to prevent unintentional information, configuration, and source code leakage.</t>
        </is>
      </c>
      <c r="E26" s="23" t="n">
        <v>3</v>
      </c>
      <c r="F26" s="39" t="inlineStr">
        <is>
          <t>Partially Compliant</t>
        </is>
      </c>
      <c r="G26" s="16" t="inlineStr">
        <is>
          <t>Profiles, environment secrets and fail-fast config validation exist; SCA still reports vulnerable dependencies requiring remediation/triage.</t>
        </is>
      </c>
      <c r="H26" s="16" t="inlineStr">
        <is>
          <t>ghostreport/src/main/resources/application.yaml; ghostreport/src/main/java/com/ghostreport/config/SecurityConfigurationValidator.java; Deliverables/Phase 2/Evidence/sca</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17"/>
  <sheetViews>
    <sheetView zoomScale="80" zoomScaleNormal="80" workbookViewId="0">
      <selection activeCell="F3" sqref="F3"/>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V14.1</t>
        </is>
      </c>
      <c r="B2" s="13" t="inlineStr">
        <is>
          <t>Data Protection Documentation</t>
        </is>
      </c>
      <c r="C2" s="13" t="n"/>
      <c r="D2" s="13" t="n"/>
      <c r="E2" s="13" t="n"/>
      <c r="F2" s="13" t="n"/>
      <c r="G2" s="13" t="n"/>
      <c r="H2" s="13" t="n"/>
    </row>
    <row r="3" ht="105" customHeight="1" s="35">
      <c r="A3" s="14" t="inlineStr">
        <is>
          <t>V14.1</t>
        </is>
      </c>
      <c r="B3" s="14" t="inlineStr">
        <is>
          <t>Data Protection Documentation</t>
        </is>
      </c>
      <c r="C3" s="15" t="inlineStr">
        <is>
          <t>V14.1.1</t>
        </is>
      </c>
      <c r="D3" s="16"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17" t="n">
        <v>2</v>
      </c>
      <c r="F3" s="41" t="inlineStr">
        <is>
          <t>Not Started</t>
        </is>
      </c>
      <c r="G3" s="16" t="inlineStr">
        <is>
          <t>Formal data classification and retention policy is pending.</t>
        </is>
      </c>
      <c r="H3" s="16" t="inlineStr">
        <is>
          <t>docs/ASVS_EVIDENCE.md</t>
        </is>
      </c>
    </row>
    <row r="4" ht="105" customHeight="1" s="35">
      <c r="A4" s="19" t="inlineStr">
        <is>
          <t>V14.1</t>
        </is>
      </c>
      <c r="B4" s="19" t="inlineStr">
        <is>
          <t>Data Protection Documentation</t>
        </is>
      </c>
      <c r="C4" s="20" t="inlineStr">
        <is>
          <t>V14.1.2</t>
        </is>
      </c>
      <c r="D4" s="21"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17" t="n">
        <v>2</v>
      </c>
      <c r="F4" s="41" t="inlineStr">
        <is>
          <t>Not Started</t>
        </is>
      </c>
      <c r="G4" s="21" t="inlineStr">
        <is>
          <t>Formal data classification and retention policy is pending.</t>
        </is>
      </c>
      <c r="H4" s="21" t="inlineStr">
        <is>
          <t>docs/ASVS_EVIDENCE.md</t>
        </is>
      </c>
    </row>
    <row r="5" ht="18" customHeight="1" s="35">
      <c r="A5" s="13" t="inlineStr">
        <is>
          <t>V14.2</t>
        </is>
      </c>
      <c r="B5" s="13" t="inlineStr">
        <is>
          <t>General Data Protection</t>
        </is>
      </c>
      <c r="C5" s="13" t="n"/>
      <c r="D5" s="13" t="n"/>
      <c r="E5" s="13" t="n"/>
      <c r="F5" s="13" t="n"/>
      <c r="G5" s="13" t="n"/>
      <c r="H5" s="13" t="n"/>
    </row>
    <row r="6" ht="74.25" customHeight="1" s="35">
      <c r="A6" s="14" t="inlineStr">
        <is>
          <t>V14.2</t>
        </is>
      </c>
      <c r="B6" s="14" t="inlineStr">
        <is>
          <t>General Data Protection</t>
        </is>
      </c>
      <c r="C6" s="15" t="inlineStr">
        <is>
          <t>V14.2.1</t>
        </is>
      </c>
      <c r="D6" s="16" t="inlineStr">
        <is>
          <t>Verify that sensitive data is only sent to the server in the HTTP message body or header fields, and that the URL and query string do not contain sensitive information, such as an API key or session token.</t>
        </is>
      </c>
      <c r="E6" s="22" t="n">
        <v>1</v>
      </c>
      <c r="F6" s="39" t="inlineStr">
        <is>
          <t>Partially Compliant</t>
        </is>
      </c>
      <c r="G6" s="16" t="inlineStr">
        <is>
          <t>DTO responses limit exposure and hashes protect evidence integrity; data classification, retention and encryption-at-rest policy remain incomplete.</t>
        </is>
      </c>
      <c r="H6" s="16" t="inlineStr">
        <is>
          <t>ghostreport/src/main/java/com/ghostreport/dto; docs/SECURITY_ASSESSMENT.md</t>
        </is>
      </c>
    </row>
    <row r="7" ht="75" customHeight="1" s="35">
      <c r="A7" s="19" t="inlineStr">
        <is>
          <t>V14.2</t>
        </is>
      </c>
      <c r="B7" s="19" t="inlineStr">
        <is>
          <t>General Data Protection</t>
        </is>
      </c>
      <c r="C7" s="20" t="inlineStr">
        <is>
          <t>V14.2.2</t>
        </is>
      </c>
      <c r="D7" s="21" t="inlineStr">
        <is>
          <t>Verify that the application prevents sensitive data from being cached in server components, such as load balancers and application caches, or ensures that the data is securely purged after use.</t>
        </is>
      </c>
      <c r="E7" s="17" t="n">
        <v>2</v>
      </c>
      <c r="F7" s="39" t="inlineStr">
        <is>
          <t>Partially Compliant</t>
        </is>
      </c>
      <c r="G7" s="21" t="inlineStr">
        <is>
          <t>DTO responses limit exposure and hashes protect evidence integrity; data classification, retention and encryption-at-rest policy remain incomplete.</t>
        </is>
      </c>
      <c r="H7" s="21" t="inlineStr">
        <is>
          <t>ghostreport/src/main/java/com/ghostreport/dto; docs/SECURITY_ASSESSMENT.md</t>
        </is>
      </c>
    </row>
    <row r="8" ht="63" customHeight="1" s="35">
      <c r="A8" s="14" t="inlineStr">
        <is>
          <t>V14.2</t>
        </is>
      </c>
      <c r="B8" s="14" t="inlineStr">
        <is>
          <t>General Data Protection</t>
        </is>
      </c>
      <c r="C8" s="15" t="inlineStr">
        <is>
          <t>V14.2.3</t>
        </is>
      </c>
      <c r="D8" s="16" t="inlineStr">
        <is>
          <t>Verify that defined sensitive data is not sent to untrusted parties (e.g., user trackers) to prevent unwanted collection of data outside of the application's control.</t>
        </is>
      </c>
      <c r="E8" s="17" t="n">
        <v>2</v>
      </c>
      <c r="F8" s="39" t="inlineStr">
        <is>
          <t>Partially Compliant</t>
        </is>
      </c>
      <c r="G8" s="16" t="inlineStr">
        <is>
          <t>DTO responses limit exposure and hashes protect evidence integrity; data classification, retention and encryption-at-rest policy remain incomplete.</t>
        </is>
      </c>
      <c r="H8" s="16" t="inlineStr">
        <is>
          <t>ghostreport/src/main/java/com/ghostreport/dto; docs/SECURITY_ASSESSMENT.md</t>
        </is>
      </c>
    </row>
    <row r="9" ht="75" customHeight="1" s="35">
      <c r="A9" s="19" t="inlineStr">
        <is>
          <t>V14.2</t>
        </is>
      </c>
      <c r="B9" s="19" t="inlineStr">
        <is>
          <t>General Data Protection</t>
        </is>
      </c>
      <c r="C9" s="20" t="inlineStr">
        <is>
          <t>V14.2.4</t>
        </is>
      </c>
      <c r="D9" s="21"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17" t="n">
        <v>2</v>
      </c>
      <c r="F9" s="39" t="inlineStr">
        <is>
          <t>Partially Compliant</t>
        </is>
      </c>
      <c r="G9" s="21" t="inlineStr">
        <is>
          <t>DTO responses limit exposure and hashes protect evidence integrity; data classification, retention and encryption-at-rest policy remain incomplete.</t>
        </is>
      </c>
      <c r="H9" s="21" t="inlineStr">
        <is>
          <t>ghostreport/src/main/java/com/ghostreport/dto; docs/SECURITY_ASSESSMENT.md</t>
        </is>
      </c>
    </row>
    <row r="10" ht="90" customHeight="1" s="35">
      <c r="A10" s="14" t="inlineStr">
        <is>
          <t>V14.2</t>
        </is>
      </c>
      <c r="B10" s="14" t="inlineStr">
        <is>
          <t>General Data Protection</t>
        </is>
      </c>
      <c r="C10" s="15" t="inlineStr">
        <is>
          <t>V14.2.5</t>
        </is>
      </c>
      <c r="D10" s="16"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23" t="n">
        <v>3</v>
      </c>
      <c r="F10" s="39" t="inlineStr">
        <is>
          <t>Partially Compliant</t>
        </is>
      </c>
      <c r="G10" s="16" t="inlineStr">
        <is>
          <t>DTO responses limit exposure and hashes protect evidence integrity; data classification, retention and encryption-at-rest policy remain incomplete.</t>
        </is>
      </c>
      <c r="H10" s="16" t="inlineStr">
        <is>
          <t>ghostreport/src/main/java/com/ghostreport/dto; docs/SECURITY_ASSESSMENT.md</t>
        </is>
      </c>
    </row>
    <row r="11" ht="75" customHeight="1" s="35">
      <c r="A11" s="19" t="inlineStr">
        <is>
          <t>V14.2</t>
        </is>
      </c>
      <c r="B11" s="19" t="inlineStr">
        <is>
          <t>General Data Protection</t>
        </is>
      </c>
      <c r="C11" s="20" t="inlineStr">
        <is>
          <t>V14.2.6</t>
        </is>
      </c>
      <c r="D11" s="21"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23" t="n">
        <v>3</v>
      </c>
      <c r="F11" s="39" t="inlineStr">
        <is>
          <t>Partially Compliant</t>
        </is>
      </c>
      <c r="G11" s="21" t="inlineStr">
        <is>
          <t>DTO responses limit exposure and hashes protect evidence integrity; data classification, retention and encryption-at-rest policy remain incomplete.</t>
        </is>
      </c>
      <c r="H11" s="21" t="inlineStr">
        <is>
          <t>ghostreport/src/main/java/com/ghostreport/dto; docs/SECURITY_ASSESSMENT.md</t>
        </is>
      </c>
    </row>
    <row r="12" ht="60" customHeight="1" s="35">
      <c r="A12" s="14" t="inlineStr">
        <is>
          <t>V14.2</t>
        </is>
      </c>
      <c r="B12" s="14" t="inlineStr">
        <is>
          <t>General Data Protection</t>
        </is>
      </c>
      <c r="C12" s="15" t="inlineStr">
        <is>
          <t>V14.2.7</t>
        </is>
      </c>
      <c r="D12" s="16" t="inlineStr">
        <is>
          <t>Verify that sensitive information is subject to data retention classification, ensuring that outdated or unnecessary data is deleted automatically, on a defined schedule, or as the situation requires.</t>
        </is>
      </c>
      <c r="E12" s="23" t="n">
        <v>3</v>
      </c>
      <c r="F12" s="39" t="inlineStr">
        <is>
          <t>Partially Compliant</t>
        </is>
      </c>
      <c r="G12" s="16" t="inlineStr">
        <is>
          <t>DTO responses limit exposure and hashes protect evidence integrity; data classification, retention and encryption-at-rest policy remain incomplete.</t>
        </is>
      </c>
      <c r="H12" s="16" t="inlineStr">
        <is>
          <t>ghostreport/src/main/java/com/ghostreport/dto; docs/SECURITY_ASSESSMENT.md</t>
        </is>
      </c>
    </row>
    <row r="13" ht="45" customHeight="1" s="35">
      <c r="A13" s="19" t="inlineStr">
        <is>
          <t>V14.2</t>
        </is>
      </c>
      <c r="B13" s="19" t="inlineStr">
        <is>
          <t>General Data Protection</t>
        </is>
      </c>
      <c r="C13" s="20" t="inlineStr">
        <is>
          <t>V14.2.8</t>
        </is>
      </c>
      <c r="D13" s="21" t="inlineStr">
        <is>
          <t>Verify that sensitive information is removed from the metadata of user-submitted files unless storage is consented to by the user.</t>
        </is>
      </c>
      <c r="E13" s="23" t="n">
        <v>3</v>
      </c>
      <c r="F13" s="39" t="inlineStr">
        <is>
          <t>Partially Compliant</t>
        </is>
      </c>
      <c r="G13" s="21" t="inlineStr">
        <is>
          <t>DTO responses limit exposure and hashes protect evidence integrity; data classification, retention and encryption-at-rest policy remain incomplete.</t>
        </is>
      </c>
      <c r="H13" s="21" t="inlineStr">
        <is>
          <t>ghostreport/src/main/java/com/ghostreport/dto; docs/SECURITY_ASSESSMENT.md</t>
        </is>
      </c>
    </row>
    <row r="14" ht="18" customHeight="1" s="35">
      <c r="A14" s="13" t="inlineStr">
        <is>
          <t>V14.3</t>
        </is>
      </c>
      <c r="B14" s="13" t="inlineStr">
        <is>
          <t>Client-side Data Protection</t>
        </is>
      </c>
      <c r="C14" s="13" t="n"/>
      <c r="D14" s="13" t="n"/>
      <c r="E14" s="13" t="n"/>
      <c r="F14" s="13" t="n"/>
      <c r="G14" s="13" t="n"/>
      <c r="H14" s="13" t="n"/>
    </row>
    <row r="15" ht="90" customHeight="1" s="35">
      <c r="A15" s="14" t="inlineStr">
        <is>
          <t>V14.3</t>
        </is>
      </c>
      <c r="B15" s="14" t="inlineStr">
        <is>
          <t>Client-side Data Protection</t>
        </is>
      </c>
      <c r="C15" s="15" t="inlineStr">
        <is>
          <t>V14.3.1</t>
        </is>
      </c>
      <c r="D15" s="16"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22" t="n">
        <v>1</v>
      </c>
      <c r="F15" s="39" t="inlineStr">
        <is>
          <t>Partially Compliant</t>
        </is>
      </c>
      <c r="G15" s="16" t="inlineStr">
        <is>
          <t>DTO responses limit exposure and hashes protect evidence integrity; data classification, retention and encryption-at-rest policy remain incomplete.</t>
        </is>
      </c>
      <c r="H15" s="16" t="inlineStr">
        <is>
          <t>ghostreport/src/main/java/com/ghostreport/dto; docs/SECURITY_ASSESSMENT.md</t>
        </is>
      </c>
    </row>
    <row r="16" ht="75" customHeight="1" s="35">
      <c r="A16" s="19" t="inlineStr">
        <is>
          <t>V14.3</t>
        </is>
      </c>
      <c r="B16" s="19" t="inlineStr">
        <is>
          <t>Client-side Data Protection</t>
        </is>
      </c>
      <c r="C16" s="20" t="inlineStr">
        <is>
          <t>V14.3.2</t>
        </is>
      </c>
      <c r="D16" s="21" t="inlineStr">
        <is>
          <t>Verify that the application sets sufficient anti-caching HTTP response header fields (i.e., Cache-Control: no-store) so that sensitive data is not cached in browsers.</t>
        </is>
      </c>
      <c r="E16" s="17" t="n">
        <v>2</v>
      </c>
      <c r="F16" s="39" t="inlineStr">
        <is>
          <t>Partially Compliant</t>
        </is>
      </c>
      <c r="G16" s="21" t="inlineStr">
        <is>
          <t>DTO responses limit exposure and hashes protect evidence integrity; data classification, retention and encryption-at-rest policy remain incomplete.</t>
        </is>
      </c>
      <c r="H16" s="21" t="inlineStr">
        <is>
          <t>ghostreport/src/main/java/com/ghostreport/dto; docs/SECURITY_ASSESSMENT.md</t>
        </is>
      </c>
    </row>
    <row r="17" ht="75" customHeight="1" s="35">
      <c r="A17" s="14" t="inlineStr">
        <is>
          <t>V14.3</t>
        </is>
      </c>
      <c r="B17" s="14" t="inlineStr">
        <is>
          <t>Client-side Data Protection</t>
        </is>
      </c>
      <c r="C17" s="15" t="inlineStr">
        <is>
          <t>V14.3.3</t>
        </is>
      </c>
      <c r="D17" s="16" t="inlineStr">
        <is>
          <t>Verify that data stored in browser storage (such as localStorage, sessionStorage, IndexedDB, or cookies) does not contain sensitive data, with the exception of session tokens.</t>
        </is>
      </c>
      <c r="E17" s="17" t="n">
        <v>2</v>
      </c>
      <c r="F17" s="39" t="inlineStr">
        <is>
          <t>Partially Compliant</t>
        </is>
      </c>
      <c r="G17" s="16" t="inlineStr">
        <is>
          <t>DTO responses limit exposure and hashes protect evidence integrity; data classification, retention and encryption-at-rest policy remain incomplete.</t>
        </is>
      </c>
      <c r="H17" s="16" t="inlineStr">
        <is>
          <t>ghostreport/src/main/java/com/ghostreport/dto; docs/SECURITY_ASSESSMENT.md</t>
        </is>
      </c>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7"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26"/>
  <sheetViews>
    <sheetView topLeftCell="A18" zoomScale="80" zoomScaleNormal="80" workbookViewId="0">
      <selection activeCell="G30" sqref="G30"/>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33"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V15.1</t>
        </is>
      </c>
      <c r="B2" s="13" t="inlineStr">
        <is>
          <t>Secure Coding and Architecture Documentation</t>
        </is>
      </c>
      <c r="C2" s="13" t="n"/>
      <c r="D2" s="13" t="n"/>
      <c r="E2" s="13" t="n"/>
      <c r="F2" s="13" t="n"/>
      <c r="G2" s="13" t="n"/>
      <c r="H2" s="13" t="n"/>
    </row>
    <row r="3" ht="60" customHeight="1" s="35">
      <c r="A3" s="14" t="inlineStr">
        <is>
          <t>V15.1</t>
        </is>
      </c>
      <c r="B3" s="14" t="inlineStr">
        <is>
          <t>Secure Coding and Architecture Documentation</t>
        </is>
      </c>
      <c r="C3" s="15" t="inlineStr">
        <is>
          <t>V15.1.1</t>
        </is>
      </c>
      <c r="D3" s="16" t="inlineStr">
        <is>
          <t>Verify that application documentation defines risk based remediation time frames for 3rd party component versions with vulnerabilities and for updating libraries in general, to minimize the risk from these components.</t>
        </is>
      </c>
      <c r="E3" s="22" t="n">
        <v>1</v>
      </c>
      <c r="F3" s="39" t="inlineStr">
        <is>
          <t>Partially Compliant</t>
        </is>
      </c>
      <c r="G3" s="16" t="inlineStr">
        <is>
          <t>SAST, SCA, SBOM, DAST, Gitleaks and testing evidence exist; Dependency-Check and SpotBugs findings remain open.</t>
        </is>
      </c>
      <c r="H3" s="16" t="inlineStr">
        <is>
          <t>.github/workflows; Deliverables/Phase 2/Evidence/sast; Deliverables/Phase 2/Evidence/sca</t>
        </is>
      </c>
    </row>
    <row r="4" ht="75" customHeight="1" s="35">
      <c r="A4" s="19" t="inlineStr">
        <is>
          <t>V15.1</t>
        </is>
      </c>
      <c r="B4" s="19" t="inlineStr">
        <is>
          <t>Secure Coding and Architecture Documentation</t>
        </is>
      </c>
      <c r="C4" s="20" t="inlineStr">
        <is>
          <t>V15.1.2</t>
        </is>
      </c>
      <c r="D4" s="21" t="inlineStr">
        <is>
          <t>Verify that an inventory catalog, such as software bill of materials (SBOM), is maintained of all third-party libraries in use, including verifying that components come from pre-defined, trusted, and continually maintained repositories.</t>
        </is>
      </c>
      <c r="E4" s="17" t="n">
        <v>2</v>
      </c>
      <c r="F4" s="39" t="inlineStr">
        <is>
          <t>Partially Compliant</t>
        </is>
      </c>
      <c r="G4" s="21" t="inlineStr">
        <is>
          <t>SAST, SCA, SBOM, DAST, Gitleaks and testing evidence exist; Dependency-Check and SpotBugs findings remain open.</t>
        </is>
      </c>
      <c r="H4" s="21" t="inlineStr">
        <is>
          <t>.github/workflows; Deliverables/Phase 2/Evidence/sast; Deliverables/Phase 2/Evidence/sca</t>
        </is>
      </c>
    </row>
    <row r="5" ht="120" customHeight="1" s="35">
      <c r="A5" s="14" t="inlineStr">
        <is>
          <t>V15.1</t>
        </is>
      </c>
      <c r="B5" s="14" t="inlineStr">
        <is>
          <t>Secure Coding and Architecture Documentation</t>
        </is>
      </c>
      <c r="C5" s="15" t="inlineStr">
        <is>
          <t>V15.1.3</t>
        </is>
      </c>
      <c r="D5" s="16"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17" t="n">
        <v>2</v>
      </c>
      <c r="F5" s="39" t="inlineStr">
        <is>
          <t>Partially Compliant</t>
        </is>
      </c>
      <c r="G5" s="16" t="inlineStr">
        <is>
          <t>SAST, SCA, SBOM, DAST, Gitleaks and testing evidence exist; Dependency-Check and SpotBugs findings remain open.</t>
        </is>
      </c>
      <c r="H5" s="16" t="inlineStr">
        <is>
          <t>.github/workflows; Deliverables/Phase 2/Evidence/sast; Deliverables/Phase 2/Evidence/sca</t>
        </is>
      </c>
    </row>
    <row r="6" ht="45" customHeight="1" s="35">
      <c r="A6" s="19" t="inlineStr">
        <is>
          <t>V15.1</t>
        </is>
      </c>
      <c r="B6" s="19" t="inlineStr">
        <is>
          <t>Secure Coding and Architecture Documentation</t>
        </is>
      </c>
      <c r="C6" s="20" t="inlineStr">
        <is>
          <t>V15.1.4</t>
        </is>
      </c>
      <c r="D6" s="21" t="inlineStr">
        <is>
          <t>Verify that application documentation highlights third-party libraries which are considered to be "risky components".</t>
        </is>
      </c>
      <c r="E6" s="23" t="n">
        <v>3</v>
      </c>
      <c r="F6" s="39" t="inlineStr">
        <is>
          <t>Partially Compliant</t>
        </is>
      </c>
      <c r="G6" s="21" t="inlineStr">
        <is>
          <t>SAST, SCA, SBOM, DAST, Gitleaks and testing evidence exist; Dependency-Check and SpotBugs findings remain open.</t>
        </is>
      </c>
      <c r="H6" s="21" t="inlineStr">
        <is>
          <t>.github/workflows; Deliverables/Phase 2/Evidence/sast; Deliverables/Phase 2/Evidence/sca</t>
        </is>
      </c>
    </row>
    <row r="7" ht="95.25" customHeight="1" s="35">
      <c r="A7" s="14" t="inlineStr">
        <is>
          <t>V15.1</t>
        </is>
      </c>
      <c r="B7" s="14" t="inlineStr">
        <is>
          <t>Secure Coding and Architecture Documentation</t>
        </is>
      </c>
      <c r="C7" s="15" t="inlineStr">
        <is>
          <t>V15.1.5</t>
        </is>
      </c>
      <c r="D7" s="16" t="inlineStr">
        <is>
          <t>Verify that application documentation highlights parts of the application where "dangerous functionality" is being used.</t>
        </is>
      </c>
      <c r="E7" s="23" t="n">
        <v>3</v>
      </c>
      <c r="F7" s="39" t="inlineStr">
        <is>
          <t>Partially Compliant</t>
        </is>
      </c>
      <c r="G7" s="16" t="inlineStr">
        <is>
          <t>SAST, SCA, SBOM, DAST, Gitleaks and testing evidence exist; Dependency-Check and SpotBugs findings remain open.</t>
        </is>
      </c>
      <c r="H7" s="16" t="inlineStr">
        <is>
          <t>.github/workflows; Deliverables/Phase 2/Evidence/sast; Deliverables/Phase 2/Evidence/sca</t>
        </is>
      </c>
    </row>
    <row r="8" ht="18" customHeight="1" s="35">
      <c r="A8" s="13" t="inlineStr">
        <is>
          <t>V15.2</t>
        </is>
      </c>
      <c r="B8" s="13" t="inlineStr">
        <is>
          <t>Security Architecture and Dependencies</t>
        </is>
      </c>
      <c r="C8" s="13" t="n"/>
      <c r="D8" s="13" t="n"/>
      <c r="E8" s="13" t="n"/>
      <c r="F8" s="13" t="n"/>
      <c r="G8" s="13" t="n"/>
      <c r="H8" s="13" t="n"/>
    </row>
    <row r="9" ht="92.25" customHeight="1" s="35">
      <c r="A9" s="14" t="inlineStr">
        <is>
          <t>V15.2</t>
        </is>
      </c>
      <c r="B9" s="14" t="inlineStr">
        <is>
          <t>Security Architecture and Dependencies</t>
        </is>
      </c>
      <c r="C9" s="15" t="inlineStr">
        <is>
          <t>V15.2.1</t>
        </is>
      </c>
      <c r="D9" s="16" t="inlineStr">
        <is>
          <t>Verify that the application only contains components which have not breached the documented update and remediation time frames.</t>
        </is>
      </c>
      <c r="E9" s="22" t="n">
        <v>1</v>
      </c>
      <c r="F9" s="39" t="inlineStr">
        <is>
          <t>Partially Compliant</t>
        </is>
      </c>
      <c r="G9" s="16" t="inlineStr">
        <is>
          <t>SAST, SCA, SBOM, DAST, Gitleaks and testing evidence exist; Dependency-Check and SpotBugs findings remain open.</t>
        </is>
      </c>
      <c r="H9" s="16" t="inlineStr">
        <is>
          <t>.github/workflows; Deliverables/Phase 2/Evidence/sast; Deliverables/Phase 2/Evidence/sca</t>
        </is>
      </c>
    </row>
    <row r="10" ht="60" customHeight="1" s="35">
      <c r="A10" s="19" t="inlineStr">
        <is>
          <t>V15.2</t>
        </is>
      </c>
      <c r="B10" s="19" t="inlineStr">
        <is>
          <t>Security Architecture and Dependencies</t>
        </is>
      </c>
      <c r="C10" s="20" t="inlineStr">
        <is>
          <t>V15.2.2</t>
        </is>
      </c>
      <c r="D10" s="21" t="inlineStr">
        <is>
          <t>Verify that the application has implemented defenses against loss of availability due to functionality which is time-consuming or resource-demanding, based on the documented security decisions and strategies for this.</t>
        </is>
      </c>
      <c r="E10" s="17" t="n">
        <v>2</v>
      </c>
      <c r="F10" s="39" t="inlineStr">
        <is>
          <t>Partially Compliant</t>
        </is>
      </c>
      <c r="G10" s="21" t="inlineStr">
        <is>
          <t>SAST, SCA, SBOM, DAST, Gitleaks and testing evidence exist; Dependency-Check and SpotBugs findings remain open.</t>
        </is>
      </c>
      <c r="H10" s="21" t="inlineStr">
        <is>
          <t>.github/workflows; Deliverables/Phase 2/Evidence/sast; Deliverables/Phase 2/Evidence/sca</t>
        </is>
      </c>
    </row>
    <row r="11" ht="60" customHeight="1" s="35">
      <c r="A11" s="14" t="inlineStr">
        <is>
          <t>V15.2</t>
        </is>
      </c>
      <c r="B11" s="14" t="inlineStr">
        <is>
          <t>Security Architecture and Dependencies</t>
        </is>
      </c>
      <c r="C11" s="15" t="inlineStr">
        <is>
          <t>V15.2.3</t>
        </is>
      </c>
      <c r="D11" s="16" t="inlineStr">
        <is>
          <t>Verify that the production environment only includes functionality that is required for the application to function, and does not expose extraneous functionality such as test code, sample snippets, and development functionality.</t>
        </is>
      </c>
      <c r="E11" s="17" t="n">
        <v>2</v>
      </c>
      <c r="F11" s="39" t="inlineStr">
        <is>
          <t>Partially Compliant</t>
        </is>
      </c>
      <c r="G11" s="16" t="inlineStr">
        <is>
          <t>SAST, SCA, SBOM, DAST, Gitleaks and testing evidence exist; Dependency-Check and SpotBugs findings remain open.</t>
        </is>
      </c>
      <c r="H11" s="16" t="inlineStr">
        <is>
          <t>.github/workflows; Deliverables/Phase 2/Evidence/sast; Deliverables/Phase 2/Evidence/sca</t>
        </is>
      </c>
    </row>
    <row r="12" ht="75" customHeight="1" s="35">
      <c r="A12" s="19" t="inlineStr">
        <is>
          <t>V15.2</t>
        </is>
      </c>
      <c r="B12" s="19" t="inlineStr">
        <is>
          <t>Security Architecture and Dependencies</t>
        </is>
      </c>
      <c r="C12" s="20" t="inlineStr">
        <is>
          <t>V15.2.4</t>
        </is>
      </c>
      <c r="D12" s="21" t="inlineStr">
        <is>
          <t>Verify that third-party components and all of their transitive dependencies are included from the expected repository, whether internally owned or an external source, and that there is no risk of a dependency confusion attack.</t>
        </is>
      </c>
      <c r="E12" s="23" t="n">
        <v>3</v>
      </c>
      <c r="F12" s="39" t="inlineStr">
        <is>
          <t>Partially Compliant</t>
        </is>
      </c>
      <c r="G12" s="21" t="inlineStr">
        <is>
          <t>SAST, SCA, SBOM, DAST, Gitleaks and testing evidence exist; Dependency-Check and SpotBugs findings remain open.</t>
        </is>
      </c>
      <c r="H12" s="21" t="inlineStr">
        <is>
          <t>.github/workflows; Deliverables/Phase 2/Evidence/sast; Deliverables/Phase 2/Evidence/sca</t>
        </is>
      </c>
    </row>
    <row r="13" ht="120" customHeight="1" s="35">
      <c r="A13" s="14" t="inlineStr">
        <is>
          <t>V15.2</t>
        </is>
      </c>
      <c r="B13" s="14" t="inlineStr">
        <is>
          <t>Security Architecture and Dependencies</t>
        </is>
      </c>
      <c r="C13" s="15" t="inlineStr">
        <is>
          <t>V15.2.5</t>
        </is>
      </c>
      <c r="D13" s="16"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23" t="n">
        <v>3</v>
      </c>
      <c r="F13" s="39" t="inlineStr">
        <is>
          <t>Partially Compliant</t>
        </is>
      </c>
      <c r="G13" s="16" t="inlineStr">
        <is>
          <t>SAST, SCA, SBOM, DAST, Gitleaks and testing evidence exist; Dependency-Check and SpotBugs findings remain open.</t>
        </is>
      </c>
      <c r="H13" s="16" t="inlineStr">
        <is>
          <t>.github/workflows; Deliverables/Phase 2/Evidence/sast; Deliverables/Phase 2/Evidence/sca</t>
        </is>
      </c>
    </row>
    <row r="14" ht="18" customHeight="1" s="35">
      <c r="A14" s="13" t="inlineStr">
        <is>
          <t>V15.3</t>
        </is>
      </c>
      <c r="B14" s="13" t="inlineStr">
        <is>
          <t>Defensive Coding</t>
        </is>
      </c>
      <c r="C14" s="13" t="n"/>
      <c r="D14" s="13" t="n"/>
      <c r="E14" s="13" t="n"/>
      <c r="F14" s="13" t="n"/>
      <c r="G14" s="13" t="n"/>
      <c r="H14" s="13" t="n"/>
    </row>
    <row r="15" ht="60" customHeight="1" s="35">
      <c r="A15" s="14" t="inlineStr">
        <is>
          <t>V15.3</t>
        </is>
      </c>
      <c r="B15" s="14" t="inlineStr">
        <is>
          <t>Defensive Coding</t>
        </is>
      </c>
      <c r="C15" s="15" t="inlineStr">
        <is>
          <t>V15.3.1</t>
        </is>
      </c>
      <c r="D15" s="16" t="inlineStr">
        <is>
          <t>Verify that the application only returns the required subset of fields from a data object. For example, it should not return an entire data object, as some individual fields should not be accessible to users.</t>
        </is>
      </c>
      <c r="E15" s="22" t="n">
        <v>1</v>
      </c>
      <c r="F15" s="39" t="inlineStr">
        <is>
          <t>Partially Compliant</t>
        </is>
      </c>
      <c r="G15" s="16" t="inlineStr">
        <is>
          <t>SAST, SCA, SBOM, DAST, Gitleaks and testing evidence exist; Dependency-Check and SpotBugs findings remain open.</t>
        </is>
      </c>
      <c r="H15" s="16" t="inlineStr">
        <is>
          <t>.github/workflows; Deliverables/Phase 2/Evidence/sast; Deliverables/Phase 2/Evidence/sca</t>
        </is>
      </c>
    </row>
    <row r="16" ht="45" customHeight="1" s="35">
      <c r="A16" s="19" t="inlineStr">
        <is>
          <t>V15.3</t>
        </is>
      </c>
      <c r="B16" s="19" t="inlineStr">
        <is>
          <t>Defensive Coding</t>
        </is>
      </c>
      <c r="C16" s="20" t="inlineStr">
        <is>
          <t>V15.3.2</t>
        </is>
      </c>
      <c r="D16" s="21" t="inlineStr">
        <is>
          <t>Verify that where the application backend makes calls to external URLs, it is configured to not follow redirects unless it is intended functionality.</t>
        </is>
      </c>
      <c r="E16" s="17" t="n">
        <v>2</v>
      </c>
      <c r="F16" s="39" t="inlineStr">
        <is>
          <t>Partially Compliant</t>
        </is>
      </c>
      <c r="G16" s="21" t="inlineStr">
        <is>
          <t>SAST, SCA, SBOM, DAST, Gitleaks and testing evidence exist; Dependency-Check and SpotBugs findings remain open.</t>
        </is>
      </c>
      <c r="H16" s="21" t="inlineStr">
        <is>
          <t>.github/workflows; Deliverables/Phase 2/Evidence/sast; Deliverables/Phase 2/Evidence/sca</t>
        </is>
      </c>
    </row>
    <row r="17" ht="60" customHeight="1" s="35">
      <c r="A17" s="14" t="inlineStr">
        <is>
          <t>V15.3</t>
        </is>
      </c>
      <c r="B17" s="14" t="inlineStr">
        <is>
          <t>Defensive Coding</t>
        </is>
      </c>
      <c r="C17" s="15" t="inlineStr">
        <is>
          <t>V15.3.3</t>
        </is>
      </c>
      <c r="D17" s="16"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17" t="n">
        <v>2</v>
      </c>
      <c r="F17" s="39" t="inlineStr">
        <is>
          <t>Partially Compliant</t>
        </is>
      </c>
      <c r="G17" s="16" t="inlineStr">
        <is>
          <t>SAST, SCA, SBOM, DAST, Gitleaks and testing evidence exist; Dependency-Check and SpotBugs findings remain open.</t>
        </is>
      </c>
      <c r="H17" s="16" t="inlineStr">
        <is>
          <t>.github/workflows; Deliverables/Phase 2/Evidence/sast; Deliverables/Phase 2/Evidence/sca</t>
        </is>
      </c>
    </row>
    <row r="18" ht="105" customHeight="1" s="35">
      <c r="A18" s="19" t="inlineStr">
        <is>
          <t>V15.3</t>
        </is>
      </c>
      <c r="B18" s="19" t="inlineStr">
        <is>
          <t>Defensive Coding</t>
        </is>
      </c>
      <c r="C18" s="20" t="inlineStr">
        <is>
          <t>V15.3.4</t>
        </is>
      </c>
      <c r="D18" s="21"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17" t="n">
        <v>2</v>
      </c>
      <c r="F18" s="39" t="inlineStr">
        <is>
          <t>Partially Compliant</t>
        </is>
      </c>
      <c r="G18" s="21" t="inlineStr">
        <is>
          <t>SAST, SCA, SBOM, DAST, Gitleaks and testing evidence exist; Dependency-Check and SpotBugs findings remain open.</t>
        </is>
      </c>
      <c r="H18" s="21" t="inlineStr">
        <is>
          <t>.github/workflows; Deliverables/Phase 2/Evidence/sast; Deliverables/Phase 2/Evidence/sca</t>
        </is>
      </c>
    </row>
    <row r="19" ht="75" customHeight="1" s="35">
      <c r="A19" s="14" t="inlineStr">
        <is>
          <t>V15.3</t>
        </is>
      </c>
      <c r="B19" s="14" t="inlineStr">
        <is>
          <t>Defensive Coding</t>
        </is>
      </c>
      <c r="C19" s="15" t="inlineStr">
        <is>
          <t>V15.3.5</t>
        </is>
      </c>
      <c r="D19" s="16"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17" t="n">
        <v>2</v>
      </c>
      <c r="F19" s="39" t="inlineStr">
        <is>
          <t>Partially Compliant</t>
        </is>
      </c>
      <c r="G19" s="16" t="inlineStr">
        <is>
          <t>SAST, SCA, SBOM, DAST, Gitleaks and testing evidence exist; Dependency-Check and SpotBugs findings remain open.</t>
        </is>
      </c>
      <c r="H19" s="16" t="inlineStr">
        <is>
          <t>.github/workflows; Deliverables/Phase 2/Evidence/sast; Deliverables/Phase 2/Evidence/sca</t>
        </is>
      </c>
    </row>
    <row r="20" ht="30" customHeight="1" s="35">
      <c r="A20" s="19" t="inlineStr">
        <is>
          <t>V15.3</t>
        </is>
      </c>
      <c r="B20" s="19" t="inlineStr">
        <is>
          <t>Defensive Coding</t>
        </is>
      </c>
      <c r="C20" s="20" t="inlineStr">
        <is>
          <t>V15.3.6</t>
        </is>
      </c>
      <c r="D20" s="21" t="inlineStr">
        <is>
          <t>Verify that JavaScript code is written in a way that prevents prototype pollution, for example, by using Set() or Map() instead of object literals.</t>
        </is>
      </c>
      <c r="E20" s="17" t="n">
        <v>2</v>
      </c>
      <c r="F20" s="39" t="inlineStr">
        <is>
          <t>Partially Compliant</t>
        </is>
      </c>
      <c r="G20" s="21" t="inlineStr">
        <is>
          <t>SAST, SCA, SBOM, DAST, Gitleaks and testing evidence exist; Dependency-Check and SpotBugs findings remain open.</t>
        </is>
      </c>
      <c r="H20" s="21" t="inlineStr">
        <is>
          <t>.github/workflows; Deliverables/Phase 2/Evidence/sast; Deliverables/Phase 2/Evidence/sca</t>
        </is>
      </c>
    </row>
    <row r="21" ht="60" customHeight="1" s="35">
      <c r="A21" s="14" t="inlineStr">
        <is>
          <t>V15.3</t>
        </is>
      </c>
      <c r="B21" s="14" t="inlineStr">
        <is>
          <t>Defensive Coding</t>
        </is>
      </c>
      <c r="C21" s="15" t="inlineStr">
        <is>
          <t>V15.3.7</t>
        </is>
      </c>
      <c r="D21" s="16" t="inlineStr">
        <is>
          <t>Verify that the application has defenses against HTTP parameter pollution attacks, particularly if the application framework makes no distinction about the source of request parameters (query string, body parameters, cookies, or header fields).</t>
        </is>
      </c>
      <c r="E21" s="17" t="n">
        <v>2</v>
      </c>
      <c r="F21" s="39" t="inlineStr">
        <is>
          <t>Partially Compliant</t>
        </is>
      </c>
      <c r="G21" s="16" t="inlineStr">
        <is>
          <t>SAST, SCA, SBOM, DAST, Gitleaks and testing evidence exist; Dependency-Check and SpotBugs findings remain open.</t>
        </is>
      </c>
      <c r="H21" s="16" t="inlineStr">
        <is>
          <t>.github/workflows; Deliverables/Phase 2/Evidence/sast; Deliverables/Phase 2/Evidence/sca</t>
        </is>
      </c>
    </row>
    <row r="22" ht="18" customHeight="1" s="35">
      <c r="A22" s="13" t="inlineStr">
        <is>
          <t>V15.4</t>
        </is>
      </c>
      <c r="B22" s="13" t="inlineStr">
        <is>
          <t>Safe Concurrency</t>
        </is>
      </c>
      <c r="C22" s="13" t="n"/>
      <c r="D22" s="13" t="n"/>
      <c r="E22" s="13" t="n"/>
      <c r="F22" s="13" t="n"/>
      <c r="G22" s="13" t="n"/>
      <c r="H22" s="13" t="n"/>
    </row>
    <row r="23" ht="75" customHeight="1" s="35">
      <c r="A23" s="14" t="inlineStr">
        <is>
          <t>V15.4</t>
        </is>
      </c>
      <c r="B23" s="14" t="inlineStr">
        <is>
          <t>Safe Concurrency</t>
        </is>
      </c>
      <c r="C23" s="15" t="inlineStr">
        <is>
          <t>V15.4.1</t>
        </is>
      </c>
      <c r="D23" s="16"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23" t="n">
        <v>3</v>
      </c>
      <c r="F23" s="39" t="inlineStr">
        <is>
          <t>Partially Compliant</t>
        </is>
      </c>
      <c r="G23" s="16" t="inlineStr">
        <is>
          <t>SAST, SCA, SBOM, DAST, Gitleaks and testing evidence exist; Dependency-Check and SpotBugs findings remain open.</t>
        </is>
      </c>
      <c r="H23" s="16" t="inlineStr">
        <is>
          <t>.github/workflows; Deliverables/Phase 2/Evidence/sast; Deliverables/Phase 2/Evidence/sca</t>
        </is>
      </c>
    </row>
    <row r="24" ht="90" customHeight="1" s="35">
      <c r="A24" s="19" t="inlineStr">
        <is>
          <t>V15.4</t>
        </is>
      </c>
      <c r="B24" s="19" t="inlineStr">
        <is>
          <t>Safe Concurrency</t>
        </is>
      </c>
      <c r="C24" s="20" t="inlineStr">
        <is>
          <t>V15.4.2</t>
        </is>
      </c>
      <c r="D24" s="21"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23" t="n">
        <v>3</v>
      </c>
      <c r="F24" s="39" t="inlineStr">
        <is>
          <t>Partially Compliant</t>
        </is>
      </c>
      <c r="G24" s="21" t="inlineStr">
        <is>
          <t>SAST, SCA, SBOM, DAST, Gitleaks and testing evidence exist; Dependency-Check and SpotBugs findings remain open.</t>
        </is>
      </c>
      <c r="H24" s="21" t="inlineStr">
        <is>
          <t>.github/workflows; Deliverables/Phase 2/Evidence/sast; Deliverables/Phase 2/Evidence/sca</t>
        </is>
      </c>
    </row>
    <row r="25" ht="75" customHeight="1" s="35">
      <c r="A25" s="14" t="inlineStr">
        <is>
          <t>V15.4</t>
        </is>
      </c>
      <c r="B25" s="14" t="inlineStr">
        <is>
          <t>Safe Concurrency</t>
        </is>
      </c>
      <c r="C25" s="15" t="inlineStr">
        <is>
          <t>V15.4.3</t>
        </is>
      </c>
      <c r="D25" s="16"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23" t="n">
        <v>3</v>
      </c>
      <c r="F25" s="39" t="inlineStr">
        <is>
          <t>Partially Compliant</t>
        </is>
      </c>
      <c r="G25" s="16" t="inlineStr">
        <is>
          <t>SAST, SCA, SBOM, DAST, Gitleaks and testing evidence exist; Dependency-Check and SpotBugs findings remain open.</t>
        </is>
      </c>
      <c r="H25" s="16" t="inlineStr">
        <is>
          <t>.github/workflows; Deliverables/Phase 2/Evidence/sast; Deliverables/Phase 2/Evidence/sca</t>
        </is>
      </c>
    </row>
    <row r="26" ht="60" customHeight="1" s="35">
      <c r="A26" s="19" t="inlineStr">
        <is>
          <t>V15.4</t>
        </is>
      </c>
      <c r="B26" s="19" t="inlineStr">
        <is>
          <t>Safe Concurrency</t>
        </is>
      </c>
      <c r="C26" s="20" t="inlineStr">
        <is>
          <t>V15.4.4</t>
        </is>
      </c>
      <c r="D26" s="21" t="inlineStr">
        <is>
          <t>Verify that resource allocation policies prevent thread starvation by ensuring fair access to resources, such as by leveraging thread pools, allowing lower-priority threads to proceed within a reasonable timeframe.</t>
        </is>
      </c>
      <c r="E26" s="23" t="n">
        <v>3</v>
      </c>
      <c r="F26" s="39" t="inlineStr">
        <is>
          <t>Partially Compliant</t>
        </is>
      </c>
      <c r="G26" s="21" t="inlineStr">
        <is>
          <t>SAST, SCA, SBOM, DAST, Gitleaks and testing evidence exist; Dependency-Check and SpotBugs findings remain open.</t>
        </is>
      </c>
      <c r="H26" s="21" t="inlineStr">
        <is>
          <t>.github/workflows; Deliverables/Phase 2/Evidence/sast; Deliverables/Phase 2/Evidence/sca</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 right="0.7" top="0.75" bottom="0.75" header="0.3" footer="0.3"/>
  <pageSetup orientation="portrait" paperSize="9"/>
</worksheet>
</file>

<file path=xl/worksheets/sheet18.xml><?xml version="1.0" encoding="utf-8"?>
<worksheet xmlns="http://schemas.openxmlformats.org/spreadsheetml/2006/main">
  <sheetPr>
    <outlinePr summaryBelow="1" summaryRight="1"/>
    <pageSetUpPr/>
  </sheetPr>
  <dimension ref="A1:H23"/>
  <sheetViews>
    <sheetView topLeftCell="A12" zoomScale="80" zoomScaleNormal="80" workbookViewId="0">
      <selection activeCell="K23" sqref="K23"/>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V16.1</t>
        </is>
      </c>
      <c r="B2" s="13" t="inlineStr">
        <is>
          <t>Security Logging Documentation</t>
        </is>
      </c>
      <c r="C2" s="13" t="n"/>
      <c r="D2" s="13" t="n"/>
      <c r="E2" s="13" t="n"/>
      <c r="F2" s="13" t="n"/>
      <c r="G2" s="13" t="n"/>
      <c r="H2" s="13" t="n"/>
    </row>
    <row r="3" ht="75" customHeight="1" s="35">
      <c r="A3" s="14" t="inlineStr">
        <is>
          <t>V16.1</t>
        </is>
      </c>
      <c r="B3" s="14" t="inlineStr">
        <is>
          <t>Security Logging Documentation</t>
        </is>
      </c>
      <c r="C3" s="15" t="inlineStr">
        <is>
          <t>V16.1.1</t>
        </is>
      </c>
      <c r="D3" s="16"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17" t="n">
        <v>2</v>
      </c>
      <c r="F3" s="39" t="inlineStr">
        <is>
          <t>Partially Compliant</t>
        </is>
      </c>
      <c r="G3" s="16" t="inlineStr">
        <is>
          <t>Audit logs, security alerts and generic errors are implemented; centralized SIEM/tamper-resistant logging and incident runbooks are pending.</t>
        </is>
      </c>
      <c r="H3" s="16" t="inlineStr">
        <is>
          <t>ghostreport/src/main/java/com/ghostreport/service/AuditLogService.java; ghostreport/src/main/java/com/ghostreport/service/SecurityMonitoringService.java; ghostreport/src/test/java/com/ghostreport/security/ErrorHandlingSecurityTest.java</t>
        </is>
      </c>
    </row>
    <row r="4" ht="18" customHeight="1" s="35">
      <c r="A4" s="13" t="inlineStr">
        <is>
          <t>V16.2</t>
        </is>
      </c>
      <c r="B4" s="13" t="inlineStr">
        <is>
          <t>General Logging</t>
        </is>
      </c>
      <c r="C4" s="13" t="n"/>
      <c r="D4" s="13" t="n"/>
      <c r="E4" s="13" t="n"/>
      <c r="F4" s="13" t="n"/>
      <c r="G4" s="13" t="n"/>
      <c r="H4" s="13" t="n"/>
    </row>
    <row r="5" ht="60" customHeight="1" s="35">
      <c r="A5" s="14" t="inlineStr">
        <is>
          <t>V16.2</t>
        </is>
      </c>
      <c r="B5" s="14" t="inlineStr">
        <is>
          <t>General Logging</t>
        </is>
      </c>
      <c r="C5" s="15" t="inlineStr">
        <is>
          <t>V16.2.1</t>
        </is>
      </c>
      <c r="D5" s="16" t="inlineStr">
        <is>
          <t>Verify that each log entry includes necessary metadata (such as when, where, who, what) that would allow for a detailed investigation of the timeline when an event happens.</t>
        </is>
      </c>
      <c r="E5" s="17" t="n">
        <v>2</v>
      </c>
      <c r="F5" s="39" t="inlineStr">
        <is>
          <t>Partially Compliant</t>
        </is>
      </c>
      <c r="G5" s="16" t="inlineStr">
        <is>
          <t>Audit logs, security alerts and generic errors are implemented; centralized SIEM/tamper-resistant logging and incident runbooks are pending.</t>
        </is>
      </c>
      <c r="H5" s="16" t="inlineStr">
        <is>
          <t>ghostreport/src/main/java/com/ghostreport/service/AuditLogService.java; ghostreport/src/main/java/com/ghostreport/service/SecurityMonitoringService.java; ghostreport/src/test/java/com/ghostreport/security/ErrorHandlingSecurityTest.java</t>
        </is>
      </c>
    </row>
    <row r="6" ht="75" customHeight="1" s="35">
      <c r="A6" s="19" t="inlineStr">
        <is>
          <t>V16.2</t>
        </is>
      </c>
      <c r="B6" s="19" t="inlineStr">
        <is>
          <t>General Logging</t>
        </is>
      </c>
      <c r="C6" s="20" t="inlineStr">
        <is>
          <t>V16.2.2</t>
        </is>
      </c>
      <c r="D6" s="21"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17" t="n">
        <v>2</v>
      </c>
      <c r="F6" s="39" t="inlineStr">
        <is>
          <t>Partially Compliant</t>
        </is>
      </c>
      <c r="G6" s="21" t="inlineStr">
        <is>
          <t>Audit logs, security alerts and generic errors are implemented; centralized SIEM/tamper-resistant logging and incident runbooks are pending.</t>
        </is>
      </c>
      <c r="H6" s="21" t="inlineStr">
        <is>
          <t>ghostreport/src/main/java/com/ghostreport/service/AuditLogService.java; ghostreport/src/main/java/com/ghostreport/service/SecurityMonitoringService.java; ghostreport/src/test/java/com/ghostreport/security/ErrorHandlingSecurityTest.java</t>
        </is>
      </c>
    </row>
    <row r="7" ht="63.75" customHeight="1" s="35">
      <c r="A7" s="14" t="inlineStr">
        <is>
          <t>V16.2</t>
        </is>
      </c>
      <c r="B7" s="14" t="inlineStr">
        <is>
          <t>General Logging</t>
        </is>
      </c>
      <c r="C7" s="15" t="inlineStr">
        <is>
          <t>V16.2.3</t>
        </is>
      </c>
      <c r="D7" s="16" t="inlineStr">
        <is>
          <t>Verify that the application only stores or broadcasts logs to the files and services that are documented in the log inventory.</t>
        </is>
      </c>
      <c r="E7" s="17" t="n">
        <v>2</v>
      </c>
      <c r="F7" s="39" t="inlineStr">
        <is>
          <t>Partially Compliant</t>
        </is>
      </c>
      <c r="G7" s="16" t="inlineStr">
        <is>
          <t>Audit logs, security alerts and generic errors are implemented; centralized SIEM/tamper-resistant logging and incident runbooks are pending.</t>
        </is>
      </c>
      <c r="H7" s="16" t="inlineStr">
        <is>
          <t>ghostreport/src/main/java/com/ghostreport/service/AuditLogService.java; ghostreport/src/main/java/com/ghostreport/service/SecurityMonitoringService.java; ghostreport/src/test/java/com/ghostreport/security/ErrorHandlingSecurityTest.java</t>
        </is>
      </c>
    </row>
    <row r="8" ht="60" customHeight="1" s="35">
      <c r="A8" s="19" t="inlineStr">
        <is>
          <t>V16.2</t>
        </is>
      </c>
      <c r="B8" s="19" t="inlineStr">
        <is>
          <t>General Logging</t>
        </is>
      </c>
      <c r="C8" s="20" t="inlineStr">
        <is>
          <t>V16.2.4</t>
        </is>
      </c>
      <c r="D8" s="21" t="inlineStr">
        <is>
          <t>Verify that logs can be read and correlated by the log processor that is in use, preferably by using a common logging format.</t>
        </is>
      </c>
      <c r="E8" s="17" t="n">
        <v>2</v>
      </c>
      <c r="F8" s="39" t="inlineStr">
        <is>
          <t>Partially Compliant</t>
        </is>
      </c>
      <c r="G8" s="21" t="inlineStr">
        <is>
          <t>Audit logs, security alerts and generic errors are implemented; centralized SIEM/tamper-resistant logging and incident runbooks are pending.</t>
        </is>
      </c>
      <c r="H8" s="21" t="inlineStr">
        <is>
          <t>ghostreport/src/main/java/com/ghostreport/service/AuditLogService.java; ghostreport/src/main/java/com/ghostreport/service/SecurityMonitoringService.java; ghostreport/src/test/java/com/ghostreport/security/ErrorHandlingSecurityTest.java</t>
        </is>
      </c>
    </row>
    <row r="9" ht="75" customHeight="1" s="35">
      <c r="A9" s="14" t="inlineStr">
        <is>
          <t>V16.2</t>
        </is>
      </c>
      <c r="B9" s="14" t="inlineStr">
        <is>
          <t>General Logging</t>
        </is>
      </c>
      <c r="C9" s="15" t="inlineStr">
        <is>
          <t>V16.2.5</t>
        </is>
      </c>
      <c r="D9" s="16"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17" t="n">
        <v>2</v>
      </c>
      <c r="F9" s="39" t="inlineStr">
        <is>
          <t>Partially Compliant</t>
        </is>
      </c>
      <c r="G9" s="16" t="inlineStr">
        <is>
          <t>Audit logs, security alerts and generic errors are implemented; centralized SIEM/tamper-resistant logging and incident runbooks are pending.</t>
        </is>
      </c>
      <c r="H9" s="16" t="inlineStr">
        <is>
          <t>ghostreport/src/main/java/com/ghostreport/service/AuditLogService.java; ghostreport/src/main/java/com/ghostreport/service/SecurityMonitoringService.java; ghostreport/src/test/java/com/ghostreport/security/ErrorHandlingSecurityTest.java</t>
        </is>
      </c>
    </row>
    <row r="10" ht="18" customHeight="1" s="35">
      <c r="A10" s="13" t="inlineStr">
        <is>
          <t>V16.3</t>
        </is>
      </c>
      <c r="B10" s="13" t="inlineStr">
        <is>
          <t>Security Events</t>
        </is>
      </c>
      <c r="C10" s="13" t="n"/>
      <c r="D10" s="13" t="n"/>
      <c r="E10" s="13" t="n"/>
      <c r="F10" s="13" t="n"/>
      <c r="G10" s="13" t="n"/>
      <c r="H10" s="13" t="n"/>
    </row>
    <row r="11" ht="60" customHeight="1" s="35">
      <c r="A11" s="14" t="inlineStr">
        <is>
          <t>V16.3</t>
        </is>
      </c>
      <c r="B11" s="14" t="inlineStr">
        <is>
          <t>Security Events</t>
        </is>
      </c>
      <c r="C11" s="15" t="inlineStr">
        <is>
          <t>V16.3.1</t>
        </is>
      </c>
      <c r="D11" s="16" t="inlineStr">
        <is>
          <t>Verify that all authentication operations are logged, including successful and unsuccessful attempts. Additional metadata, such as the type of authentication or factors used, should also be collected.</t>
        </is>
      </c>
      <c r="E11" s="17" t="n">
        <v>2</v>
      </c>
      <c r="F11" s="39" t="inlineStr">
        <is>
          <t>Partially Compliant</t>
        </is>
      </c>
      <c r="G11" s="16" t="inlineStr">
        <is>
          <t>Audit logs, security alerts and generic errors are implemented; centralized SIEM/tamper-resistant logging and incident runbooks are pending.</t>
        </is>
      </c>
      <c r="H11" s="16" t="inlineStr">
        <is>
          <t>ghostreport/src/main/java/com/ghostreport/service/AuditLogService.java; ghostreport/src/main/java/com/ghostreport/service/SecurityMonitoringService.java; ghostreport/src/test/java/com/ghostreport/security/ErrorHandlingSecurityTest.java</t>
        </is>
      </c>
    </row>
    <row r="12" ht="75" customHeight="1" s="35">
      <c r="A12" s="19" t="inlineStr">
        <is>
          <t>V16.3</t>
        </is>
      </c>
      <c r="B12" s="19" t="inlineStr">
        <is>
          <t>Security Events</t>
        </is>
      </c>
      <c r="C12" s="20" t="inlineStr">
        <is>
          <t>V16.3.2</t>
        </is>
      </c>
      <c r="D12" s="21" t="inlineStr">
        <is>
          <t>Verify that failed authorization attempts are logged. For L3, this must include logging all authorization decisions, including logging when sensitive data is accessed (without logging the sensitive data itself).</t>
        </is>
      </c>
      <c r="E12" s="17" t="n">
        <v>2</v>
      </c>
      <c r="F12" s="39" t="inlineStr">
        <is>
          <t>Partially Compliant</t>
        </is>
      </c>
      <c r="G12" s="21" t="inlineStr">
        <is>
          <t>Audit logs, security alerts and generic errors are implemented; centralized SIEM/tamper-resistant logging and incident runbooks are pending.</t>
        </is>
      </c>
      <c r="H12" s="21" t="inlineStr">
        <is>
          <t>ghostreport/src/main/java/com/ghostreport/service/AuditLogService.java; ghostreport/src/main/java/com/ghostreport/service/SecurityMonitoringService.java; ghostreport/src/test/java/com/ghostreport/security/ErrorHandlingSecurityTest.java</t>
        </is>
      </c>
    </row>
    <row r="13" ht="81" customHeight="1" s="35">
      <c r="A13" s="14" t="inlineStr">
        <is>
          <t>V16.3</t>
        </is>
      </c>
      <c r="B13" s="14" t="inlineStr">
        <is>
          <t>Security Events</t>
        </is>
      </c>
      <c r="C13" s="15" t="inlineStr">
        <is>
          <t>V16.3.3</t>
        </is>
      </c>
      <c r="D13" s="16" t="inlineStr">
        <is>
          <t>Verify that the application logs the security events that are defined in the documentation and also logs attempts to bypass the security controls, such as input validation, business logic, and anti-automation.</t>
        </is>
      </c>
      <c r="E13" s="17" t="n">
        <v>2</v>
      </c>
      <c r="F13" s="39" t="inlineStr">
        <is>
          <t>Partially Compliant</t>
        </is>
      </c>
      <c r="G13" s="16" t="inlineStr">
        <is>
          <t>Audit logs, security alerts and generic errors are implemented; centralized SIEM/tamper-resistant logging and incident runbooks are pending.</t>
        </is>
      </c>
      <c r="H13" s="16" t="inlineStr">
        <is>
          <t>ghostreport/src/main/java/com/ghostreport/service/AuditLogService.java; ghostreport/src/main/java/com/ghostreport/service/SecurityMonitoringService.java; ghostreport/src/test/java/com/ghostreport/security/ErrorHandlingSecurityTest.java</t>
        </is>
      </c>
    </row>
    <row r="14" ht="45" customHeight="1" s="35">
      <c r="A14" s="19" t="inlineStr">
        <is>
          <t>V16.3</t>
        </is>
      </c>
      <c r="B14" s="19" t="inlineStr">
        <is>
          <t>Security Events</t>
        </is>
      </c>
      <c r="C14" s="20" t="inlineStr">
        <is>
          <t>V16.3.4</t>
        </is>
      </c>
      <c r="D14" s="21" t="inlineStr">
        <is>
          <t>Verify that the application logs unexpected errors and security control failures such as backend TLS failures.</t>
        </is>
      </c>
      <c r="E14" s="17" t="n">
        <v>2</v>
      </c>
      <c r="F14" s="39" t="inlineStr">
        <is>
          <t>Partially Compliant</t>
        </is>
      </c>
      <c r="G14" s="21" t="inlineStr">
        <is>
          <t>Audit logs, security alerts and generic errors are implemented; centralized SIEM/tamper-resistant logging and incident runbooks are pending.</t>
        </is>
      </c>
      <c r="H14" s="21" t="inlineStr">
        <is>
          <t>ghostreport/src/main/java/com/ghostreport/service/AuditLogService.java; ghostreport/src/main/java/com/ghostreport/service/SecurityMonitoringService.java; ghostreport/src/test/java/com/ghostreport/security/ErrorHandlingSecurityTest.java</t>
        </is>
      </c>
    </row>
    <row r="15" ht="18" customHeight="1" s="35">
      <c r="A15" s="13" t="inlineStr">
        <is>
          <t>V16.4</t>
        </is>
      </c>
      <c r="B15" s="13" t="inlineStr">
        <is>
          <t>Log Protection</t>
        </is>
      </c>
      <c r="C15" s="13" t="n"/>
      <c r="D15" s="13" t="n"/>
      <c r="E15" s="13" t="n"/>
      <c r="F15" s="13" t="n"/>
      <c r="G15" s="13" t="n"/>
      <c r="H15" s="13" t="n"/>
    </row>
    <row r="16" ht="45" customHeight="1" s="35">
      <c r="A16" s="14" t="inlineStr">
        <is>
          <t>V16.4</t>
        </is>
      </c>
      <c r="B16" s="14" t="inlineStr">
        <is>
          <t>Log Protection</t>
        </is>
      </c>
      <c r="C16" s="15" t="inlineStr">
        <is>
          <t>V16.4.1</t>
        </is>
      </c>
      <c r="D16" s="16" t="inlineStr">
        <is>
          <t>Verify that all logging components appropriately encode data to prevent log injection.</t>
        </is>
      </c>
      <c r="E16" s="17" t="n">
        <v>2</v>
      </c>
      <c r="F16" s="40" t="inlineStr">
        <is>
          <t>Compliant</t>
        </is>
      </c>
      <c r="G16" s="16" t="inlineStr">
        <is>
          <t>Generic error handling avoids stack traces and includes correlation IDs.</t>
        </is>
      </c>
      <c r="H16" s="16" t="inlineStr">
        <is>
          <t>ghostreport/src/main/java/com/ghostreport/exception/GlobalExceptionHandler.java; ghostreport/src/test/java/com/ghostreport/security/ErrorHandlingSecurityTest.java</t>
        </is>
      </c>
    </row>
    <row r="17" ht="75" customHeight="1" s="35">
      <c r="A17" s="19" t="inlineStr">
        <is>
          <t>V16.4</t>
        </is>
      </c>
      <c r="B17" s="19" t="inlineStr">
        <is>
          <t>Log Protection</t>
        </is>
      </c>
      <c r="C17" s="20" t="inlineStr">
        <is>
          <t>V16.4.2</t>
        </is>
      </c>
      <c r="D17" s="21" t="inlineStr">
        <is>
          <t>Verify that logs are protected from unauthorized access and cannot be modified.</t>
        </is>
      </c>
      <c r="E17" s="17" t="n">
        <v>2</v>
      </c>
      <c r="F17" s="39" t="inlineStr">
        <is>
          <t>Partially Compliant</t>
        </is>
      </c>
      <c r="G17" s="21" t="inlineStr">
        <is>
          <t>Audit logs, security alerts and generic errors are implemented; centralized SIEM/tamper-resistant logging and incident runbooks are pending.</t>
        </is>
      </c>
      <c r="H17" s="21" t="inlineStr">
        <is>
          <t>ghostreport/src/main/java/com/ghostreport/service/AuditLogService.java; ghostreport/src/main/java/com/ghostreport/service/SecurityMonitoringService.java; ghostreport/src/test/java/com/ghostreport/security/ErrorHandlingSecurityTest.java</t>
        </is>
      </c>
    </row>
    <row r="18" ht="30" customHeight="1" s="35">
      <c r="A18" s="14" t="inlineStr">
        <is>
          <t>V16.4</t>
        </is>
      </c>
      <c r="B18" s="14" t="inlineStr">
        <is>
          <t>Log Protection</t>
        </is>
      </c>
      <c r="C18" s="15" t="inlineStr">
        <is>
          <t>V16.4.3</t>
        </is>
      </c>
      <c r="D18" s="16" t="inlineStr">
        <is>
          <t>Verify that logs are securely transmitted to a logically separate system for analysis, detection, alerting, and escalation. The aim is to ensure that if the application is breached, the logs are not compromised.</t>
        </is>
      </c>
      <c r="E18" s="17" t="n">
        <v>2</v>
      </c>
      <c r="F18" s="39" t="inlineStr">
        <is>
          <t>Partially Compliant</t>
        </is>
      </c>
      <c r="G18" s="16" t="inlineStr">
        <is>
          <t>Audit logs, security alerts and generic errors are implemented; centralized SIEM/tamper-resistant logging and incident runbooks are pending.</t>
        </is>
      </c>
      <c r="H18" s="16" t="inlineStr">
        <is>
          <t>ghostreport/src/main/java/com/ghostreport/service/AuditLogService.java; ghostreport/src/main/java/com/ghostreport/service/SecurityMonitoringService.java; ghostreport/src/test/java/com/ghostreport/security/ErrorHandlingSecurityTest.java</t>
        </is>
      </c>
    </row>
    <row r="19" ht="18" customHeight="1" s="35">
      <c r="A19" s="13" t="inlineStr">
        <is>
          <t>V16.5</t>
        </is>
      </c>
      <c r="B19" s="13" t="inlineStr">
        <is>
          <t>Error Handling</t>
        </is>
      </c>
      <c r="C19" s="13" t="n"/>
      <c r="D19" s="13" t="n"/>
      <c r="E19" s="13" t="n"/>
      <c r="F19" s="13" t="n"/>
      <c r="G19" s="13" t="n"/>
      <c r="H19" s="13" t="n"/>
    </row>
    <row r="20" ht="75" customHeight="1" s="35">
      <c r="A20" s="14" t="inlineStr">
        <is>
          <t>V16.5</t>
        </is>
      </c>
      <c r="B20" s="14" t="inlineStr">
        <is>
          <t>Error Handling</t>
        </is>
      </c>
      <c r="C20" s="15" t="inlineStr">
        <is>
          <t>V16.5.1</t>
        </is>
      </c>
      <c r="D20" s="16" t="inlineStr">
        <is>
          <t>Verify that a generic message is returned to the consumer when an unexpected or security-sensitive error occurs, ensuring no exposure of sensitive internal system data such as stack traces, queries, secret keys, and tokens.</t>
        </is>
      </c>
      <c r="E20" s="17" t="n">
        <v>2</v>
      </c>
      <c r="F20" s="39" t="inlineStr">
        <is>
          <t>Partially Compliant</t>
        </is>
      </c>
      <c r="G20" s="16" t="inlineStr">
        <is>
          <t>Audit logs, security alerts and generic errors are implemented; centralized SIEM/tamper-resistant logging and incident runbooks are pending.</t>
        </is>
      </c>
      <c r="H20" s="16" t="inlineStr">
        <is>
          <t>ghostreport/src/main/java/com/ghostreport/service/AuditLogService.java; ghostreport/src/main/java/com/ghostreport/service/SecurityMonitoringService.java; ghostreport/src/test/java/com/ghostreport/security/ErrorHandlingSecurityTest.java</t>
        </is>
      </c>
    </row>
    <row r="21" ht="60" customHeight="1" s="35">
      <c r="A21" s="19" t="inlineStr">
        <is>
          <t>V16.5</t>
        </is>
      </c>
      <c r="B21" s="19" t="inlineStr">
        <is>
          <t>Error Handling</t>
        </is>
      </c>
      <c r="C21" s="20" t="inlineStr">
        <is>
          <t>V16.5.2</t>
        </is>
      </c>
      <c r="D21" s="21" t="inlineStr">
        <is>
          <t>Verify that the application continues to operate securely when external resource access fails, for example, by using patterns such as circuit breakers or graceful degradation.</t>
        </is>
      </c>
      <c r="E21" s="17" t="n">
        <v>2</v>
      </c>
      <c r="F21" s="39" t="inlineStr">
        <is>
          <t>Partially Compliant</t>
        </is>
      </c>
      <c r="G21" s="21" t="inlineStr">
        <is>
          <t>Audit logs, security alerts and generic errors are implemented; centralized SIEM/tamper-resistant logging and incident runbooks are pending.</t>
        </is>
      </c>
      <c r="H21" s="21" t="inlineStr">
        <is>
          <t>ghostreport/src/main/java/com/ghostreport/service/AuditLogService.java; ghostreport/src/main/java/com/ghostreport/service/SecurityMonitoringService.java; ghostreport/src/test/java/com/ghostreport/security/ErrorHandlingSecurityTest.java</t>
        </is>
      </c>
    </row>
    <row r="22" ht="60" customHeight="1" s="35">
      <c r="A22" s="14" t="inlineStr">
        <is>
          <t>V16.5</t>
        </is>
      </c>
      <c r="B22" s="14" t="inlineStr">
        <is>
          <t>Error Handling</t>
        </is>
      </c>
      <c r="C22" s="15" t="inlineStr">
        <is>
          <t>V16.5.3</t>
        </is>
      </c>
      <c r="D22" s="16" t="inlineStr">
        <is>
          <t>Verify that the application fails gracefully and securely, including when an exception occurs, preventing fail-open conditions such as processing a transaction despite errors resulting from validation logic.</t>
        </is>
      </c>
      <c r="E22" s="17" t="n">
        <v>2</v>
      </c>
      <c r="F22" s="39" t="inlineStr">
        <is>
          <t>Partially Compliant</t>
        </is>
      </c>
      <c r="G22" s="16" t="inlineStr">
        <is>
          <t>Audit logs, security alerts and generic errors are implemented; centralized SIEM/tamper-resistant logging and incident runbooks are pending.</t>
        </is>
      </c>
      <c r="H22" s="16" t="inlineStr">
        <is>
          <t>ghostreport/src/main/java/com/ghostreport/service/AuditLogService.java; ghostreport/src/main/java/com/ghostreport/service/SecurityMonitoringService.java; ghostreport/src/test/java/com/ghostreport/security/ErrorHandlingSecurityTest.java</t>
        </is>
      </c>
    </row>
    <row r="23" ht="75" customHeight="1" s="35">
      <c r="A23" s="19" t="inlineStr">
        <is>
          <t>V16.5</t>
        </is>
      </c>
      <c r="B23" s="19" t="inlineStr">
        <is>
          <t>Error Handling</t>
        </is>
      </c>
      <c r="C23" s="20" t="inlineStr">
        <is>
          <t>V16.5.4</t>
        </is>
      </c>
      <c r="D23" s="21"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23" t="n">
        <v>3</v>
      </c>
      <c r="F23" s="39" t="inlineStr">
        <is>
          <t>Partially Compliant</t>
        </is>
      </c>
      <c r="G23" s="21" t="inlineStr">
        <is>
          <t>Audit logs, security alerts and generic errors are implemented; centralized SIEM/tamper-resistant logging and incident runbooks are pending.</t>
        </is>
      </c>
      <c r="H23" s="21" t="inlineStr">
        <is>
          <t>ghostreport/src/main/java/com/ghostreport/service/AuditLogService.java; ghostreport/src/main/java/com/ghostreport/service/SecurityMonitoringService.java; ghostreport/src/test/java/com/ghostreport/security/ErrorHandlingSecurityTest.java</t>
        </is>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3"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16"/>
  <sheetViews>
    <sheetView tabSelected="1" zoomScale="60" zoomScaleNormal="60" workbookViewId="0">
      <selection activeCell="L12" sqref="L12"/>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33"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V17.1</t>
        </is>
      </c>
      <c r="B2" s="13" t="inlineStr">
        <is>
          <t>TURN Server</t>
        </is>
      </c>
      <c r="C2" s="13" t="n"/>
      <c r="D2" s="13" t="n"/>
      <c r="E2" s="13" t="n"/>
      <c r="F2" s="13" t="n"/>
      <c r="G2" s="13" t="n"/>
      <c r="H2" s="13" t="n"/>
    </row>
    <row r="3" ht="60" customHeight="1" s="35">
      <c r="A3" s="14" t="inlineStr">
        <is>
          <t>V17.1</t>
        </is>
      </c>
      <c r="B3" s="14" t="inlineStr">
        <is>
          <t>TURN Server</t>
        </is>
      </c>
      <c r="C3" s="15" t="inlineStr">
        <is>
          <t>V17.1.1</t>
        </is>
      </c>
      <c r="D3" s="16" t="inlineStr">
        <is>
          <t>Verify that the Traversal Using Relays around NAT (TURN) service only allows access to IP addresses that are not reserved for special purposes (e.g., internal networks, broadcast, loopback). Note that this applies to both IPv4 and IPv6 addresses.</t>
        </is>
      </c>
      <c r="E3" s="17" t="n">
        <v>2</v>
      </c>
      <c r="F3" s="42" t="inlineStr">
        <is>
          <t>Not Applicable</t>
        </is>
      </c>
      <c r="G3" s="16" t="inlineStr">
        <is>
          <t>GhostReport has no WebRTC, TURN/STUN, media server, signaling, SRTP or browser media capture feature.</t>
        </is>
      </c>
      <c r="H3" s="16" t="inlineStr">
        <is>
          <t>docs/ASVS_EVIDENCE.md</t>
        </is>
      </c>
    </row>
    <row r="4" ht="45" customHeight="1" s="35">
      <c r="A4" s="19" t="inlineStr">
        <is>
          <t>V17.1</t>
        </is>
      </c>
      <c r="B4" s="19" t="inlineStr">
        <is>
          <t>TURN Server</t>
        </is>
      </c>
      <c r="C4" s="20" t="inlineStr">
        <is>
          <t>V17.1.2</t>
        </is>
      </c>
      <c r="D4" s="21" t="inlineStr">
        <is>
          <t>Verify that the Traversal Using Relays around NAT (TURN) service is not susceptible to resource exhaustion when legitimate users attempt to open a large number of ports on the TURN server.</t>
        </is>
      </c>
      <c r="E4" s="23" t="n">
        <v>3</v>
      </c>
      <c r="F4" s="42" t="inlineStr">
        <is>
          <t>Not Applicable</t>
        </is>
      </c>
      <c r="G4" s="21" t="inlineStr">
        <is>
          <t>GhostReport has no WebRTC, TURN/STUN, media server, signaling, SRTP or browser media capture feature.</t>
        </is>
      </c>
      <c r="H4" s="21" t="inlineStr">
        <is>
          <t>docs/ASVS_EVIDENCE.md</t>
        </is>
      </c>
    </row>
    <row r="5" ht="18" customHeight="1" s="35">
      <c r="A5" s="13" t="inlineStr">
        <is>
          <t>V17.2</t>
        </is>
      </c>
      <c r="B5" s="13" t="inlineStr">
        <is>
          <t>Media</t>
        </is>
      </c>
      <c r="C5" s="13" t="n"/>
      <c r="D5" s="13" t="n"/>
      <c r="E5" s="13" t="n"/>
      <c r="F5" s="13" t="n"/>
      <c r="G5" s="13" t="n"/>
      <c r="H5" s="13" t="n"/>
    </row>
    <row r="6" ht="45" customHeight="1" s="35">
      <c r="A6" s="14" t="inlineStr">
        <is>
          <t>V17.2</t>
        </is>
      </c>
      <c r="B6" s="14" t="inlineStr">
        <is>
          <t>Media</t>
        </is>
      </c>
      <c r="C6" s="15" t="inlineStr">
        <is>
          <t>V17.2.1</t>
        </is>
      </c>
      <c r="D6" s="16" t="inlineStr">
        <is>
          <t>Verify that the key for the Datagram Transport Layer Security (DTLS) certificate is managed and protected based on the documented policy for management of cryptographic keys.</t>
        </is>
      </c>
      <c r="E6" s="17" t="n">
        <v>2</v>
      </c>
      <c r="F6" s="42" t="inlineStr">
        <is>
          <t>Not Applicable</t>
        </is>
      </c>
      <c r="G6" s="16" t="inlineStr">
        <is>
          <t>GhostReport has no WebRTC, TURN/STUN, media server, signaling, SRTP or browser media capture feature.</t>
        </is>
      </c>
      <c r="H6" s="16" t="inlineStr">
        <is>
          <t>docs/ASVS_EVIDENCE.md</t>
        </is>
      </c>
    </row>
    <row r="7" ht="75" customHeight="1" s="35">
      <c r="A7" s="19" t="inlineStr">
        <is>
          <t>V17.2</t>
        </is>
      </c>
      <c r="B7" s="19" t="inlineStr">
        <is>
          <t>Media</t>
        </is>
      </c>
      <c r="C7" s="20" t="inlineStr">
        <is>
          <t>V17.2.2</t>
        </is>
      </c>
      <c r="D7" s="21"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17" t="n">
        <v>2</v>
      </c>
      <c r="F7" s="42" t="inlineStr">
        <is>
          <t>Not Applicable</t>
        </is>
      </c>
      <c r="G7" s="21" t="inlineStr">
        <is>
          <t>GhostReport has no WebRTC, TURN/STUN, media server, signaling, SRTP or browser media capture feature.</t>
        </is>
      </c>
      <c r="H7" s="21" t="inlineStr">
        <is>
          <t>docs/ASVS_EVIDENCE.md</t>
        </is>
      </c>
    </row>
    <row r="8" ht="75" customHeight="1" s="35">
      <c r="A8" s="14" t="inlineStr">
        <is>
          <t>V17.2</t>
        </is>
      </c>
      <c r="B8" s="14" t="inlineStr">
        <is>
          <t>Media</t>
        </is>
      </c>
      <c r="C8" s="15" t="inlineStr">
        <is>
          <t>V17.2.3</t>
        </is>
      </c>
      <c r="D8" s="16"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17" t="n">
        <v>2</v>
      </c>
      <c r="F8" s="42" t="inlineStr">
        <is>
          <t>Not Applicable</t>
        </is>
      </c>
      <c r="G8" s="16" t="inlineStr">
        <is>
          <t>GhostReport has no WebRTC, TURN/STUN, media server, signaling, SRTP or browser media capture feature.</t>
        </is>
      </c>
      <c r="H8" s="16" t="inlineStr">
        <is>
          <t>docs/ASVS_EVIDENCE.md</t>
        </is>
      </c>
    </row>
    <row r="9" ht="45" customHeight="1" s="35">
      <c r="A9" s="19" t="inlineStr">
        <is>
          <t>V17.2</t>
        </is>
      </c>
      <c r="B9" s="19" t="inlineStr">
        <is>
          <t>Media</t>
        </is>
      </c>
      <c r="C9" s="20" t="inlineStr">
        <is>
          <t>V17.2.4</t>
        </is>
      </c>
      <c r="D9" s="21" t="inlineStr">
        <is>
          <t>Verify that the media server is able to continue processing incoming media traffic when encountering malformed Secure Real-time Transport Protocol (SRTP) packets.</t>
        </is>
      </c>
      <c r="E9" s="17" t="n">
        <v>2</v>
      </c>
      <c r="F9" s="42" t="inlineStr">
        <is>
          <t>Not Applicable</t>
        </is>
      </c>
      <c r="G9" s="21" t="inlineStr">
        <is>
          <t>GhostReport has no WebRTC, TURN/STUN, media server, signaling, SRTP or browser media capture feature.</t>
        </is>
      </c>
      <c r="H9" s="21" t="inlineStr">
        <is>
          <t>docs/ASVS_EVIDENCE.md</t>
        </is>
      </c>
    </row>
    <row r="10" ht="45" customHeight="1" s="35">
      <c r="A10" s="14" t="inlineStr">
        <is>
          <t>V17.2</t>
        </is>
      </c>
      <c r="B10" s="14" t="inlineStr">
        <is>
          <t>Media</t>
        </is>
      </c>
      <c r="C10" s="15" t="inlineStr">
        <is>
          <t>V17.2.5</t>
        </is>
      </c>
      <c r="D10" s="16" t="inlineStr">
        <is>
          <t>Verify that the media server is able to continue processing incoming media traffic during a flood of Secure Real-time Transport Protocol (SRTP) packets from legitimate users.</t>
        </is>
      </c>
      <c r="E10" s="23" t="n">
        <v>3</v>
      </c>
      <c r="F10" s="42" t="inlineStr">
        <is>
          <t>Not Applicable</t>
        </is>
      </c>
      <c r="G10" s="16" t="inlineStr">
        <is>
          <t>GhostReport has no WebRTC, TURN/STUN, media server, signaling, SRTP or browser media capture feature.</t>
        </is>
      </c>
      <c r="H10" s="16" t="inlineStr">
        <is>
          <t>docs/ASVS_EVIDENCE.md</t>
        </is>
      </c>
    </row>
    <row r="11" ht="60" customHeight="1" s="35">
      <c r="A11" s="19" t="inlineStr">
        <is>
          <t>V17.2</t>
        </is>
      </c>
      <c r="B11" s="19" t="inlineStr">
        <is>
          <t>Media</t>
        </is>
      </c>
      <c r="C11" s="20" t="inlineStr">
        <is>
          <t>V17.2.6</t>
        </is>
      </c>
      <c r="D11" s="21" t="inlineStr">
        <is>
          <t>Verify that the media server is not susceptible to the "ClientHello" Race Condition vulnerability in Datagram Transport Layer Security (DTLS) by checking if the media server is publicly known to be vulnerable or by performing the race condition test.</t>
        </is>
      </c>
      <c r="E11" s="23" t="n">
        <v>3</v>
      </c>
      <c r="F11" s="42" t="inlineStr">
        <is>
          <t>Not Applicable</t>
        </is>
      </c>
      <c r="G11" s="21" t="inlineStr">
        <is>
          <t>GhostReport has no WebRTC, TURN/STUN, media server, signaling, SRTP or browser media capture feature.</t>
        </is>
      </c>
      <c r="H11" s="21" t="inlineStr">
        <is>
          <t>docs/ASVS_EVIDENCE.md</t>
        </is>
      </c>
    </row>
    <row r="12" ht="60" customHeight="1" s="35">
      <c r="A12" s="14" t="inlineStr">
        <is>
          <t>V17.2</t>
        </is>
      </c>
      <c r="B12" s="14" t="inlineStr">
        <is>
          <t>Media</t>
        </is>
      </c>
      <c r="C12" s="15" t="inlineStr">
        <is>
          <t>V17.2.7</t>
        </is>
      </c>
      <c r="D12" s="16" t="inlineStr">
        <is>
          <t>Verify that any audio or video recording mechanisms associated with the media server are able to continue processing incoming media traffic during a flood of Secure Real-time Transport Protocol (SRTP) packets from legitimate users.</t>
        </is>
      </c>
      <c r="E12" s="23" t="n">
        <v>3</v>
      </c>
      <c r="F12" s="42" t="inlineStr">
        <is>
          <t>Not Applicable</t>
        </is>
      </c>
      <c r="G12" s="16" t="inlineStr">
        <is>
          <t>GhostReport has no WebRTC, TURN/STUN, media server, signaling, SRTP or browser media capture feature.</t>
        </is>
      </c>
      <c r="H12" s="16" t="inlineStr">
        <is>
          <t>docs/ASVS_EVIDENCE.md</t>
        </is>
      </c>
    </row>
    <row r="13" ht="60" customHeight="1" s="35">
      <c r="A13" s="19" t="inlineStr">
        <is>
          <t>V17.2</t>
        </is>
      </c>
      <c r="B13" s="19" t="inlineStr">
        <is>
          <t>Media</t>
        </is>
      </c>
      <c r="C13" s="20" t="inlineStr">
        <is>
          <t>V17.2.8</t>
        </is>
      </c>
      <c r="D13" s="21" t="inlineStr">
        <is>
          <t>Verify that the Datagram Transport Layer Security (DTLS) certificate is checked against the Session Description Protocol (SDP) fingerprint attribute, terminating the media stream if the check fails, to ensure the authenticity of the media stream.</t>
        </is>
      </c>
      <c r="E13" s="23" t="n">
        <v>3</v>
      </c>
      <c r="F13" s="42" t="inlineStr">
        <is>
          <t>Not Applicable</t>
        </is>
      </c>
      <c r="G13" s="21" t="inlineStr">
        <is>
          <t>GhostReport has no WebRTC, TURN/STUN, media server, signaling, SRTP or browser media capture feature.</t>
        </is>
      </c>
      <c r="H13" s="21" t="inlineStr">
        <is>
          <t>docs/ASVS_EVIDENCE.md</t>
        </is>
      </c>
    </row>
    <row r="14" ht="18" customHeight="1" s="35">
      <c r="A14" s="13" t="inlineStr">
        <is>
          <t>V17.3</t>
        </is>
      </c>
      <c r="B14" s="13" t="inlineStr">
        <is>
          <t>Signaling</t>
        </is>
      </c>
      <c r="C14" s="13" t="n"/>
      <c r="D14" s="13" t="n"/>
      <c r="E14" s="13" t="n"/>
      <c r="F14" s="13" t="n"/>
      <c r="G14" s="13" t="n"/>
      <c r="H14" s="13" t="n"/>
    </row>
    <row r="15" ht="60" customHeight="1" s="35">
      <c r="A15" s="14" t="inlineStr">
        <is>
          <t>V17.3</t>
        </is>
      </c>
      <c r="B15" s="14" t="inlineStr">
        <is>
          <t>Signaling</t>
        </is>
      </c>
      <c r="C15" s="15" t="inlineStr">
        <is>
          <t>V17.3.1</t>
        </is>
      </c>
      <c r="D15" s="16" t="inlineStr">
        <is>
          <t>Verify that the signaling server is able to continue processing legitimate incoming signaling messages during a flood attack. This should be achieved by implementing rate limiting at the signaling level.</t>
        </is>
      </c>
      <c r="E15" s="17" t="n">
        <v>2</v>
      </c>
      <c r="F15" s="42" t="inlineStr">
        <is>
          <t>Not Applicable</t>
        </is>
      </c>
      <c r="G15" s="16" t="inlineStr">
        <is>
          <t>GhostReport has no WebRTC, TURN/STUN, media server, signaling, SRTP or browser media capture feature.</t>
        </is>
      </c>
      <c r="H15" s="16" t="inlineStr">
        <is>
          <t>docs/ASVS_EVIDENCE.md</t>
        </is>
      </c>
    </row>
    <row r="16" ht="90" customHeight="1" s="35">
      <c r="A16" s="19" t="inlineStr">
        <is>
          <t>V17.3</t>
        </is>
      </c>
      <c r="B16" s="19" t="inlineStr">
        <is>
          <t>Signaling</t>
        </is>
      </c>
      <c r="C16" s="20" t="inlineStr">
        <is>
          <t>V17.3.2</t>
        </is>
      </c>
      <c r="D16" s="21"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17" t="n">
        <v>2</v>
      </c>
      <c r="F16" s="42" t="inlineStr">
        <is>
          <t>Not Applicable</t>
        </is>
      </c>
      <c r="G16" s="21" t="inlineStr">
        <is>
          <t>GhostReport has no WebRTC, TURN/STUN, media server, signaling, SRTP or browser media capture feature.</t>
        </is>
      </c>
      <c r="H16" s="21" t="inlineStr">
        <is>
          <t>docs/ASVS_EVIDENCE.md</t>
        </is>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2026-04-17T14:46:21Z</dcterms:created>
  <dcterms:modified xmlns:dcterms="http://purl.org/dc/terms/" xmlns:xsi="http://www.w3.org/2001/XMLSchema-instance" xsi:type="dcterms:W3CDTF">2026-06-04T21:14:58Z</dcterms:modified>
  <cp:lastModifiedBy>Alexandre Flávio Almeida Da Silva Bessa Vieira</cp:lastModifiedBy>
</cp:coreProperties>
</file>