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12" activeTab="18" autoFilterDateGrouping="1"/>
  </bookViews>
  <sheets>
    <sheet xmlns:r="http://schemas.openxmlformats.org/officeDocument/2006/relationships" name="Summary" sheetId="1" state="visible" r:id="rId1"/>
    <sheet xmlns:r="http://schemas.openxmlformats.org/officeDocument/2006/relationships" name="Assessment Notes" sheetId="2" state="visible" r:id="rId2"/>
    <sheet xmlns:r="http://schemas.openxmlformats.org/officeDocument/2006/relationships" name="V1 - Encoding and Sanitization" sheetId="3" state="visible" r:id="rId3"/>
    <sheet xmlns:r="http://schemas.openxmlformats.org/officeDocument/2006/relationships" name="V2 - Validation and Business Lo" sheetId="4" state="visible" r:id="rId4"/>
    <sheet xmlns:r="http://schemas.openxmlformats.org/officeDocument/2006/relationships" name="V3 - Web Frontend Security" sheetId="5" state="visible" r:id="rId5"/>
    <sheet xmlns:r="http://schemas.openxmlformats.org/officeDocument/2006/relationships" name="V4 - API and Web Service" sheetId="6" state="visible" r:id="rId6"/>
    <sheet xmlns:r="http://schemas.openxmlformats.org/officeDocument/2006/relationships" name="V5 - File Handling" sheetId="7" state="visible" r:id="rId7"/>
    <sheet xmlns:r="http://schemas.openxmlformats.org/officeDocument/2006/relationships" name="V6 - Authentication" sheetId="8" state="visible" r:id="rId8"/>
    <sheet xmlns:r="http://schemas.openxmlformats.org/officeDocument/2006/relationships" name="V7 - Session Management" sheetId="9" state="visible" r:id="rId9"/>
    <sheet xmlns:r="http://schemas.openxmlformats.org/officeDocument/2006/relationships" name="V8 - Authorization" sheetId="10" state="visible" r:id="rId10"/>
    <sheet xmlns:r="http://schemas.openxmlformats.org/officeDocument/2006/relationships" name="V9 - Self-contained Tokens" sheetId="11" state="visible" r:id="rId11"/>
    <sheet xmlns:r="http://schemas.openxmlformats.org/officeDocument/2006/relationships" name="V10 - OAuth and OIDC" sheetId="12" state="visible" r:id="rId12"/>
    <sheet xmlns:r="http://schemas.openxmlformats.org/officeDocument/2006/relationships" name="V11 - Cryptography" sheetId="13" state="visible" r:id="rId13"/>
    <sheet xmlns:r="http://schemas.openxmlformats.org/officeDocument/2006/relationships" name="V12 - Secure Communication" sheetId="14" state="visible" r:id="rId14"/>
    <sheet xmlns:r="http://schemas.openxmlformats.org/officeDocument/2006/relationships" name="V13 - Configuration" sheetId="15" state="visible" r:id="rId15"/>
    <sheet xmlns:r="http://schemas.openxmlformats.org/officeDocument/2006/relationships" name="V14 - Data Protection" sheetId="16" state="visible" r:id="rId16"/>
    <sheet xmlns:r="http://schemas.openxmlformats.org/officeDocument/2006/relationships" name="V15 - Secure Coding and Archite" sheetId="17" state="visible" r:id="rId17"/>
    <sheet xmlns:r="http://schemas.openxmlformats.org/officeDocument/2006/relationships" name="V16 - Security Logging and Erro" sheetId="18" state="visible" r:id="rId18"/>
    <sheet xmlns:r="http://schemas.openxmlformats.org/officeDocument/2006/relationships" name="V17 - WebRTC" sheetId="19" state="visible" r:id="rId19"/>
  </sheets>
  <definedNames/>
  <calcPr calcId="191029" calcMode="auto" fullCalcOnLoad="1" forceFullCalc="1"/>
</workbook>
</file>

<file path=xl/styles.xml><?xml version="1.0" encoding="utf-8"?>
<styleSheet xmlns="http://schemas.openxmlformats.org/spreadsheetml/2006/main">
  <numFmts count="0"/>
  <fonts count="13">
    <font>
      <name val="Calibri"/>
      <family val="2"/>
      <color rgb="FF000000"/>
      <sz val="11"/>
    </font>
    <font>
      <name val="Cambria"/>
      <b val="1"/>
      <color rgb="FFFFFFFF"/>
      <sz val="16"/>
    </font>
    <font>
      <name val="Cambria"/>
      <i val="1"/>
      <color rgb="FF595959"/>
      <sz val="10"/>
    </font>
    <font>
      <name val="Cambria"/>
      <b val="1"/>
      <sz val="10"/>
    </font>
    <font>
      <name val="Cambria"/>
      <b val="1"/>
      <sz val="9"/>
    </font>
    <font>
      <name val="Cambria"/>
      <b val="1"/>
      <color rgb="FFFFFFFF"/>
      <sz val="9"/>
    </font>
    <font>
      <name val="Cambria"/>
      <sz val="10"/>
    </font>
    <font>
      <name val="Cambria"/>
      <b val="1"/>
      <color rgb="FFFFFFFF"/>
      <sz val="11"/>
    </font>
    <font>
      <name val="Cambria"/>
      <b val="1"/>
      <color rgb="FFFFFFFF"/>
      <sz val="10"/>
    </font>
    <font>
      <name val="Cambria"/>
      <b val="1"/>
      <color rgb="FF1F3864"/>
      <sz val="10"/>
    </font>
    <font>
      <name val="Calibri"/>
      <b val="1"/>
      <sz val="14"/>
    </font>
    <font>
      <name val="Calibri"/>
      <b val="1"/>
      <sz val="11"/>
    </font>
    <font>
      <name val="Cambria"/>
      <family val="1"/>
      <b val="1"/>
      <color rgb="FFFFFFFF"/>
      <sz val="10"/>
    </font>
  </fonts>
  <fills count="13">
    <fill>
      <patternFill/>
    </fill>
    <fill>
      <patternFill patternType="gray125"/>
    </fill>
    <fill>
      <patternFill patternType="solid">
        <fgColor rgb="FF1F3864"/>
      </patternFill>
    </fill>
    <fill>
      <patternFill patternType="solid">
        <fgColor rgb="FFFFFFFF"/>
      </patternFill>
    </fill>
    <fill>
      <patternFill patternType="solid">
        <fgColor rgb="FFF7FBFF"/>
      </patternFill>
    </fill>
    <fill>
      <patternFill patternType="solid">
        <fgColor rgb="FFD6E4F0"/>
      </patternFill>
    </fill>
    <fill>
      <patternFill patternType="solid">
        <fgColor rgb="FFFFEB9C"/>
      </patternFill>
    </fill>
    <fill>
      <patternFill patternType="solid">
        <fgColor rgb="FFF2F2F2"/>
      </patternFill>
    </fill>
    <fill>
      <patternFill patternType="solid">
        <fgColor rgb="FFC6EFCE"/>
      </patternFill>
    </fill>
    <fill>
      <patternFill patternType="solid">
        <fgColor rgb="FFFABF8F"/>
      </patternFill>
    </fill>
    <fill>
      <patternFill patternType="solid">
        <fgColor rgb="FFFFFF00"/>
        <bgColor indexed="64"/>
      </patternFill>
    </fill>
    <fill>
      <patternFill patternType="solid">
        <fgColor rgb="FFFFEB9C"/>
        <bgColor indexed="64"/>
      </patternFill>
    </fill>
    <fill>
      <patternFill patternType="solid">
        <fgColor rgb="FFF7FBF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9" fontId="6" fillId="3"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9" fontId="6" fillId="4" borderId="1" applyAlignment="1" pivotButton="0" quotePrefix="0" xfId="0">
      <alignment horizontal="center" vertical="center"/>
    </xf>
    <xf numFmtId="0" fontId="7" fillId="2" borderId="1" pivotButton="0" quotePrefix="0" xfId="0"/>
    <xf numFmtId="0" fontId="8" fillId="2" borderId="1" applyAlignment="1" pivotButton="0" quotePrefix="0" xfId="0">
      <alignment horizontal="center" vertical="center"/>
    </xf>
    <xf numFmtId="9" fontId="8" fillId="2" borderId="1" applyAlignment="1" pivotButton="0" quotePrefix="0" xfId="0">
      <alignment horizontal="center" vertical="center"/>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0" fillId="3" borderId="1"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3" fillId="6" borderId="1" applyAlignment="1" pivotButton="0" quotePrefix="0" xfId="0">
      <alignment horizontal="center" vertical="top"/>
    </xf>
    <xf numFmtId="0" fontId="0" fillId="7" borderId="1" applyAlignment="1" pivotButton="0" quotePrefix="0" xfId="0">
      <alignment horizontal="center" vertical="top"/>
    </xf>
    <xf numFmtId="0" fontId="0" fillId="4" borderId="1" pivotButton="0" quotePrefix="0" xfId="0"/>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10" fillId="0" borderId="0" applyAlignment="1" pivotButton="0" quotePrefix="0" xfId="0">
      <alignment vertical="top" wrapText="1"/>
    </xf>
    <xf numFmtId="0" fontId="0" fillId="0" borderId="0" applyAlignment="1" pivotButton="0" quotePrefix="0" xfId="0">
      <alignment vertical="top" wrapText="1"/>
    </xf>
    <xf numFmtId="0" fontId="11" fillId="0" borderId="0" applyAlignment="1" pivotButton="0" quotePrefix="0" xfId="0">
      <alignment vertical="top" wrapText="1"/>
    </xf>
    <xf numFmtId="0" fontId="0" fillId="10" borderId="1" applyAlignment="1" pivotButton="0" quotePrefix="0" xfId="0">
      <alignment horizontal="center" vertical="top"/>
    </xf>
    <xf numFmtId="0" fontId="0" fillId="0" borderId="1" pivotButton="0" quotePrefix="0" xfId="0"/>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3" fillId="11" borderId="1" applyAlignment="1" pivotButton="0" quotePrefix="0" xfId="0">
      <alignment horizontal="center" vertical="top"/>
    </xf>
    <xf numFmtId="0" fontId="0" fillId="12" borderId="1" applyAlignment="1" pivotButton="0" quotePrefix="0" xfId="0">
      <alignment horizontal="left" vertical="top" wrapText="1"/>
    </xf>
    <xf numFmtId="0" fontId="12"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0" borderId="0" pivotButton="0" quotePrefix="0" xfId="0"/>
    <xf numFmtId="0" fontId="3" fillId="0" borderId="0" pivotButton="0" quotePrefix="0" xfId="0"/>
    <xf numFmtId="0" fontId="2" fillId="0" borderId="0" applyAlignment="1" pivotButton="0" quotePrefix="0" xfId="0">
      <alignment horizontal="center" vertical="center"/>
    </xf>
    <xf numFmtId="0" fontId="0" fillId="10" borderId="0" pivotButton="0" quotePrefix="0" xfId="0"/>
    <xf numFmtId="0" fontId="3" fillId="0"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plotArea>
      <layout/>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0%</formatCode>
                <ptCount val="17"/>
                <pt idx="0">
                  <v>0.125</v>
                </pt>
                <pt idx="1">
                  <v>0.25</v>
                </pt>
                <pt idx="2">
                  <v>0.125</v>
                </pt>
                <pt idx="3">
                  <v>0</v>
                </pt>
                <pt idx="4">
                  <v>1</v>
                </pt>
                <pt idx="5">
                  <v>0.3076923076923077</v>
                </pt>
                <pt idx="6">
                  <v>0.1666666666666667</v>
                </pt>
                <pt idx="7">
                  <v>0.75</v>
                </pt>
                <pt idx="8">
                  <v>0.25</v>
                </pt>
                <pt idx="9">
                  <v>0</v>
                </pt>
                <pt idx="10">
                  <v>0.3333333333333333</v>
                </pt>
                <pt idx="11">
                  <v>0</v>
                </pt>
                <pt idx="12">
                  <v>0</v>
                </pt>
                <pt idx="13">
                  <v>0</v>
                </pt>
                <pt idx="14">
                  <v>0</v>
                </pt>
                <pt idx="15">
                  <formatCode>General</formatCode>
                  <v>0</v>
                </pt>
                <pt idx="16">
                  <formatCode>General</formatCode>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0%</formatCode>
                <ptCount val="17"/>
                <pt idx="0">
                  <v>0.05263157894736842</v>
                </pt>
                <pt idx="1">
                  <v>0</v>
                </pt>
                <pt idx="2">
                  <v>0.3636363636363636</v>
                </pt>
                <pt idx="3">
                  <v>0</v>
                </pt>
                <pt idx="4">
                  <v>0.4</v>
                </pt>
                <pt idx="5">
                  <v>0.04545454545454546</v>
                </pt>
                <pt idx="6">
                  <v>0.08333333333333333</v>
                </pt>
                <pt idx="7">
                  <v>0</v>
                </pt>
                <pt idx="8">
                  <v>0</v>
                </pt>
                <pt idx="9">
                  <v>0</v>
                </pt>
                <pt idx="10">
                  <v>0.2727272727272727</v>
                </pt>
                <pt idx="11">
                  <v>0</v>
                </pt>
                <pt idx="12">
                  <v>0.08333333333333333</v>
                </pt>
                <pt idx="13">
                  <v>0.1428571428571428</v>
                </pt>
                <pt idx="14">
                  <v>0.1</v>
                </pt>
                <pt idx="15">
                  <v>0.1875</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0%</formatCode>
                <ptCount val="16"/>
                <pt idx="0">
                  <v>0.3333333333333333</v>
                </pt>
                <pt idx="1">
                  <v>0</v>
                </pt>
                <pt idx="2">
                  <v>0.08333333333333333</v>
                </pt>
                <pt idx="3">
                  <v>0</v>
                </pt>
                <pt idx="4">
                  <v>0.25</v>
                </pt>
                <pt idx="5">
                  <v>0.08333333333333333</v>
                </pt>
                <pt idx="6">
                  <v>0</v>
                </pt>
                <pt idx="7">
                  <v>0.1666666666666667</v>
                </pt>
                <pt idx="8">
                  <formatCode>General</formatCode>
                  <v>0</v>
                </pt>
                <pt idx="9">
                  <v>0</v>
                </pt>
                <pt idx="10">
                  <v>0</v>
                </pt>
                <pt idx="11">
                  <v>0</v>
                </pt>
                <pt idx="12">
                  <v>0</v>
                </pt>
                <pt idx="13">
                  <v>0</v>
                </pt>
                <pt idx="14">
                  <v>0.125</v>
                </pt>
                <pt idx="15">
                  <v>1</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0%</formatCode>
                <ptCount val="17"/>
                <pt idx="0">
                  <v>0.1</v>
                </pt>
                <pt idx="1">
                  <v>0.07692307692307693</v>
                </pt>
                <pt idx="2">
                  <v>0.1935483870967742</v>
                </pt>
                <pt idx="3">
                  <v>0</v>
                </pt>
                <pt idx="4">
                  <v>0.5384615384615384</v>
                </pt>
                <pt idx="5">
                  <v>0.1276595744680851</v>
                </pt>
                <pt idx="6">
                  <v>0.1052631578947368</v>
                </pt>
                <pt idx="7">
                  <v>0.3076923076923077</v>
                </pt>
                <pt idx="8">
                  <v>0.1428571428571428</v>
                </pt>
                <pt idx="9">
                  <v>0</v>
                </pt>
                <pt idx="10">
                  <v>0.1666666666666667</v>
                </pt>
                <pt idx="11">
                  <v>0</v>
                </pt>
                <pt idx="12">
                  <v>0.04761904761904762</v>
                </pt>
                <pt idx="13">
                  <v>0.07692307692307693</v>
                </pt>
                <pt idx="14">
                  <v>0.09523809523809523</v>
                </pt>
                <pt idx="15">
                  <v>0.2352941176470588</v>
                </pt>
                <pt idx="16">
                  <v>0</v>
                </pt>
              </numCache>
            </numRef>
          </val>
        </ser>
        <dLbls>
          <showLegendKey val="0"/>
          <showVal val="0"/>
          <showCatName val="0"/>
          <showSerName val="0"/>
          <showPercent val="0"/>
          <showBubbleSize val="0"/>
        </dLbls>
        <gapWidth val="100"/>
        <axId val="48650112"/>
        <axId val="48672768"/>
      </barChart>
      <catAx>
        <axId val="48650112"/>
        <scaling>
          <orientation val="minMax"/>
        </scaling>
        <delete val="0"/>
        <axPos val="l"/>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crossAx val="48672768"/>
        <crosses val="autoZero"/>
        <auto val="1"/>
        <lblAlgn val="ctr"/>
        <lblOffset val="100"/>
        <noMultiLvlLbl val="0"/>
      </catAx>
      <valAx>
        <axId val="48672768"/>
        <scaling>
          <orientation val="minMax"/>
        </scaling>
        <delete val="0"/>
        <axPos val="b"/>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crossAx val="4865011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None</a:t>
          </a:r>
          <a:endParaRPr lang="pt-PT"/>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3"/>
  <sheetViews>
    <sheetView showGridLines="0" workbookViewId="0">
      <selection activeCell="E7" sqref="E7"/>
    </sheetView>
  </sheetViews>
  <sheetFormatPr baseColWidth="8" defaultColWidth="8.42578125" defaultRowHeight="15"/>
  <cols>
    <col width="34" customWidth="1" style="35" min="1" max="1"/>
    <col width="11" customWidth="1" style="35" min="2" max="13"/>
  </cols>
  <sheetData>
    <row r="1" ht="36" customHeight="1" s="35">
      <c r="A1" s="34" t="inlineStr">
        <is>
          <t>OWASP ASVS 5.0 - Compliance Tracker - Phase 2 Sprint 2</t>
        </is>
      </c>
    </row>
    <row r="2" ht="20.1" customHeight="1" s="35">
      <c r="A2" s="37" t="n"/>
    </row>
    <row r="3" ht="18" customHeight="1" s="35">
      <c r="A3" s="39" t="inlineStr">
        <is>
          <t>Updated from Phase 2 Sprint 1 workbook for Sprint 2 evidence: tests 267/0/0/0; runtime probes 101 total, 101 passed, 0 failed, 0 skipped; Dependency-Check 0 unsuppressed vulnerabilities; Sprint 2 hardening added MFA/password/no-cache controls plus CSP/HSTS/Fetch Metadata/request-boundary/TLS/resource-limit validation and report-submission rate limiting.</t>
        </is>
      </c>
      <c r="C3" s="1" t="n"/>
      <c r="E3" s="1" t="n"/>
      <c r="G3" s="1" t="n"/>
      <c r="I3" s="1" t="n"/>
      <c r="K3" s="1" t="n"/>
      <c r="M3" s="1" t="n"/>
      <c r="O3" s="1" t="n"/>
    </row>
    <row r="5" ht="32.1" customHeight="1" s="35">
      <c r="A5" s="2" t="inlineStr">
        <is>
          <t>Chapter</t>
        </is>
      </c>
      <c r="B5" s="2" t="inlineStr">
        <is>
          <t>Total
Reqs</t>
        </is>
      </c>
      <c r="C5" s="2" t="inlineStr">
        <is>
          <t>L1
Total</t>
        </is>
      </c>
      <c r="D5" s="2" t="inlineStr">
        <is>
          <t>L1
Compliant</t>
        </is>
      </c>
      <c r="E5" s="2" t="inlineStr">
        <is>
          <t>L1
%</t>
        </is>
      </c>
      <c r="F5" s="2" t="inlineStr">
        <is>
          <t>L2
Total</t>
        </is>
      </c>
      <c r="G5" s="2" t="inlineStr">
        <is>
          <t>L2
Compliant</t>
        </is>
      </c>
      <c r="H5" s="2" t="inlineStr">
        <is>
          <t>L2
%</t>
        </is>
      </c>
      <c r="I5" s="2" t="inlineStr">
        <is>
          <t>L3
Total</t>
        </is>
      </c>
      <c r="J5" s="2" t="inlineStr">
        <is>
          <t>L3
Compliant</t>
        </is>
      </c>
      <c r="K5" s="2" t="inlineStr">
        <is>
          <t>L3
%</t>
        </is>
      </c>
      <c r="L5" s="2" t="inlineStr">
        <is>
          <t>Overall
Compliant</t>
        </is>
      </c>
      <c r="M5" s="2" t="inlineStr">
        <is>
          <t>Overall
%</t>
        </is>
      </c>
    </row>
    <row r="6" ht="18" customHeight="1" s="35">
      <c r="A6" s="3" t="inlineStr">
        <is>
          <t>V1 – Encoding and Sanitization</t>
        </is>
      </c>
      <c r="B6" s="4" t="n">
        <v>30</v>
      </c>
      <c r="C6" s="4" t="n">
        <v>8</v>
      </c>
      <c r="D6" s="4">
        <f>COUNTIFS('V1 - Encoding and Sanitization'!$F$2:$F$36,"Compliant",'V1 - Encoding and Sanitization'!$E$2:$E$36,1)</f>
        <v/>
      </c>
      <c r="E6" s="5">
        <f>IF(C6=0,"",D6/C6)</f>
        <v/>
      </c>
      <c r="F6" s="4" t="n">
        <v>19</v>
      </c>
      <c r="G6" s="4">
        <f>COUNTIFS('V1 - Encoding and Sanitization'!$F$2:$F$36,"Compliant",'V1 - Encoding and Sanitization'!$E$2:$E$36,2)</f>
        <v/>
      </c>
      <c r="H6" s="5">
        <f>IF(F6=0,"",G6/F6)</f>
        <v/>
      </c>
      <c r="I6" s="4" t="n">
        <v>3</v>
      </c>
      <c r="J6" s="4">
        <f>COUNTIFS('V1 - Encoding and Sanitization'!$F$2:$F$36,"Compliant",'V1 - Encoding and Sanitization'!$E$2:$E$36,3)</f>
        <v/>
      </c>
      <c r="K6" s="5">
        <f>IF(I6=0,"",J6/I6)</f>
        <v/>
      </c>
      <c r="L6" s="4">
        <f>COUNTIF('V1 - Encoding and Sanitization'!$F$2:$F$36,"Compliant")</f>
        <v/>
      </c>
      <c r="M6" s="5">
        <f>IF(B6=0,"",L6/B6)</f>
        <v/>
      </c>
    </row>
    <row r="7" ht="18" customHeight="1" s="35">
      <c r="A7" s="6" t="inlineStr">
        <is>
          <t>V2 – Validation and Business Logic</t>
        </is>
      </c>
      <c r="B7" s="7" t="n">
        <v>13</v>
      </c>
      <c r="C7" s="7" t="n">
        <v>4</v>
      </c>
      <c r="D7" s="7">
        <f>COUNTIFS('V2 - Validation and Business Lo'!$F$2:$F$18,"Compliant",'V2 - Validation and Business Lo'!$E$2:$E$18,1)</f>
        <v/>
      </c>
      <c r="E7" s="8">
        <f>IF(C7=0,"",D7/C7)</f>
        <v/>
      </c>
      <c r="F7" s="7" t="n">
        <v>7</v>
      </c>
      <c r="G7" s="7">
        <f>COUNTIFS('V2 - Validation and Business Lo'!$F$2:$F$18,"Compliant",'V2 - Validation and Business Lo'!$E$2:$E$18,2)</f>
        <v/>
      </c>
      <c r="H7" s="8">
        <f>IF(F7=0,"",G7/F7)</f>
        <v/>
      </c>
      <c r="I7" s="7" t="n">
        <v>2</v>
      </c>
      <c r="J7" s="7">
        <f>COUNTIFS('V2 - Validation and Business Lo'!$F$2:$F$18,"Compliant",'V2 - Validation and Business Lo'!$E$2:$E$18,3)</f>
        <v/>
      </c>
      <c r="K7" s="8">
        <f>IF(I7=0,"",J7/I7)</f>
        <v/>
      </c>
      <c r="L7" s="7">
        <f>COUNTIF('V2 - Validation and Business Lo'!$F$2:$F$18,"Compliant")</f>
        <v/>
      </c>
      <c r="M7" s="8">
        <f>IF(B7=0,"",L7/B7)</f>
        <v/>
      </c>
    </row>
    <row r="8" ht="18" customHeight="1" s="35">
      <c r="A8" s="3" t="inlineStr">
        <is>
          <t>V3 – Web Frontend Security</t>
        </is>
      </c>
      <c r="B8" s="4" t="n">
        <v>31</v>
      </c>
      <c r="C8" s="4" t="n">
        <v>8</v>
      </c>
      <c r="D8" s="4">
        <f>COUNTIFS('V3 - Web Frontend Security'!$F$2:$F$39,"Compliant",'V3 - Web Frontend Security'!$E$2:$E$39,1)</f>
        <v/>
      </c>
      <c r="E8" s="5">
        <f>IF(C8=0,"",D8/C8)</f>
        <v/>
      </c>
      <c r="F8" s="4" t="n">
        <v>11</v>
      </c>
      <c r="G8" s="4">
        <f>COUNTIFS('V3 - Web Frontend Security'!$F$2:$F$39,"Compliant",'V3 - Web Frontend Security'!$E$2:$E$39,2)</f>
        <v/>
      </c>
      <c r="H8" s="5">
        <f>IF(F8=0,"",G8/F8)</f>
        <v/>
      </c>
      <c r="I8" s="4" t="n">
        <v>12</v>
      </c>
      <c r="J8" s="4">
        <f>COUNTIFS('V3 - Web Frontend Security'!$F$2:$F$39,"Compliant",'V3 - Web Frontend Security'!$E$2:$E$39,3)</f>
        <v/>
      </c>
      <c r="K8" s="5">
        <f>IF(I8=0,"",J8/I8)</f>
        <v/>
      </c>
      <c r="L8" s="4">
        <f>COUNTIF('V3 - Web Frontend Security'!$F$2:$F$39,"Compliant")</f>
        <v/>
      </c>
      <c r="M8" s="5">
        <f>IF(B8=0,"",L8/B8)</f>
        <v/>
      </c>
    </row>
    <row r="9" ht="18" customHeight="1" s="35">
      <c r="A9" s="6" t="inlineStr">
        <is>
          <t>V4 – API and Web Service</t>
        </is>
      </c>
      <c r="B9" s="7" t="n">
        <v>16</v>
      </c>
      <c r="C9" s="7" t="n">
        <v>2</v>
      </c>
      <c r="D9" s="7">
        <f>COUNTIFS('V4 - API and Web Service'!$F$2:$F$21,"Compliant",'V4 - API and Web Service'!$E$2:$E$21,1)</f>
        <v/>
      </c>
      <c r="E9" s="8">
        <f>IF(C9=0,"",D9/C9)</f>
        <v/>
      </c>
      <c r="F9" s="7" t="n">
        <v>8</v>
      </c>
      <c r="G9" s="7">
        <f>COUNTIFS('V4 - API and Web Service'!$F$2:$F$21,"Compliant",'V4 - API and Web Service'!$E$2:$E$21,2)</f>
        <v/>
      </c>
      <c r="H9" s="8">
        <f>IF(F9=0,"",G9/F9)</f>
        <v/>
      </c>
      <c r="I9" s="7" t="n">
        <v>6</v>
      </c>
      <c r="J9" s="7">
        <f>COUNTIFS('V4 - API and Web Service'!$F$2:$F$21,"Compliant",'V4 - API and Web Service'!$E$2:$E$21,3)</f>
        <v/>
      </c>
      <c r="K9" s="8">
        <f>IF(I9=0,"",J9/I9)</f>
        <v/>
      </c>
      <c r="L9" s="7">
        <f>COUNTIF('V4 - API and Web Service'!$F$2:$F$21,"Compliant")</f>
        <v/>
      </c>
      <c r="M9" s="8">
        <f>IF(B9=0,"",L9/B9)</f>
        <v/>
      </c>
    </row>
    <row r="10" ht="18" customHeight="1" s="35">
      <c r="A10" s="3" t="inlineStr">
        <is>
          <t>V5 – File Handling</t>
        </is>
      </c>
      <c r="B10" s="4" t="n">
        <v>13</v>
      </c>
      <c r="C10" s="4" t="n">
        <v>4</v>
      </c>
      <c r="D10" s="4">
        <f>COUNTIFS('V5 - File Handling'!$F$2:$F$18,"Compliant",'V5 - File Handling'!$E$2:$E$18,1)</f>
        <v/>
      </c>
      <c r="E10" s="5">
        <f>IF(C10=0,"",D10/C10)</f>
        <v/>
      </c>
      <c r="F10" s="4" t="n">
        <v>5</v>
      </c>
      <c r="G10" s="4">
        <f>COUNTIFS('V5 - File Handling'!$F$2:$F$18,"Compliant",'V5 - File Handling'!$E$2:$E$18,2)</f>
        <v/>
      </c>
      <c r="H10" s="5">
        <f>IF(F10=0,"",G10/F10)</f>
        <v/>
      </c>
      <c r="I10" s="4" t="n">
        <v>4</v>
      </c>
      <c r="J10" s="4">
        <f>COUNTIFS('V5 - File Handling'!$F$2:$F$18,"Compliant",'V5 - File Handling'!$E$2:$E$18,3)</f>
        <v/>
      </c>
      <c r="K10" s="5">
        <f>IF(I10=0,"",J10/I10)</f>
        <v/>
      </c>
      <c r="L10" s="4">
        <f>COUNTIF('V5 - File Handling'!$F$2:$F$18,"Compliant")</f>
        <v/>
      </c>
      <c r="M10" s="5">
        <f>IF(B10=0,"",L10/B10)</f>
        <v/>
      </c>
    </row>
    <row r="11" ht="18" customHeight="1" s="35">
      <c r="A11" s="6" t="inlineStr">
        <is>
          <t>V6 – Authentication</t>
        </is>
      </c>
      <c r="B11" s="7" t="n">
        <v>47</v>
      </c>
      <c r="C11" s="7" t="n">
        <v>13</v>
      </c>
      <c r="D11" s="7">
        <f>COUNTIFS('V6 - Authentication'!$F$2:$F$56,"Compliant",'V6 - Authentication'!$E$2:$E$56,1)</f>
        <v/>
      </c>
      <c r="E11" s="8">
        <f>IF(C11=0,"",D11/C11)</f>
        <v/>
      </c>
      <c r="F11" s="7" t="n">
        <v>22</v>
      </c>
      <c r="G11" s="7">
        <f>COUNTIFS('V6 - Authentication'!$F$2:$F$56,"Compliant",'V6 - Authentication'!$E$2:$E$56,2)</f>
        <v/>
      </c>
      <c r="H11" s="8">
        <f>IF(F11=0,"",G11/F11)</f>
        <v/>
      </c>
      <c r="I11" s="7" t="n">
        <v>12</v>
      </c>
      <c r="J11" s="7">
        <f>COUNTIFS('V6 - Authentication'!$F$2:$F$56,"Compliant",'V6 - Authentication'!$E$2:$E$56,3)</f>
        <v/>
      </c>
      <c r="K11" s="8">
        <f>IF(I11=0,"",J11/I11)</f>
        <v/>
      </c>
      <c r="L11" s="7">
        <f>COUNTIF('V6 - Authentication'!$F$2:$F$56,"Compliant")</f>
        <v/>
      </c>
      <c r="M11" s="8">
        <f>IF(B11=0,"",L11/B11)</f>
        <v/>
      </c>
    </row>
    <row r="12" ht="18" customHeight="1" s="35">
      <c r="A12" s="3" t="inlineStr">
        <is>
          <t>V7 – Session Management</t>
        </is>
      </c>
      <c r="B12" s="4" t="n">
        <v>19</v>
      </c>
      <c r="C12" s="4" t="n">
        <v>6</v>
      </c>
      <c r="D12" s="4">
        <f>COUNTIFS('V7 - Session Management'!$F$2:$F$26,"Compliant",'V7 - Session Management'!$E$2:$E$26,1)</f>
        <v/>
      </c>
      <c r="E12" s="5">
        <f>IF(C12=0,"",D12/C12)</f>
        <v/>
      </c>
      <c r="F12" s="4" t="n">
        <v>12</v>
      </c>
      <c r="G12" s="4">
        <f>COUNTIFS('V7 - Session Management'!$F$2:$F$26,"Compliant",'V7 - Session Management'!$E$2:$E$26,2)</f>
        <v/>
      </c>
      <c r="H12" s="5">
        <f>IF(F12=0,"",G12/F12)</f>
        <v/>
      </c>
      <c r="I12" s="4" t="n">
        <v>1</v>
      </c>
      <c r="J12" s="4">
        <f>COUNTIFS('V7 - Session Management'!$F$2:$F$26,"Compliant",'V7 - Session Management'!$E$2:$E$26,3)</f>
        <v/>
      </c>
      <c r="K12" s="5">
        <f>IF(I12=0,"",J12/I12)</f>
        <v/>
      </c>
      <c r="L12" s="4">
        <f>COUNTIF('V7 - Session Management'!$F$2:$F$26,"Compliant")</f>
        <v/>
      </c>
      <c r="M12" s="5">
        <f>IF(B12=0,"",L12/B12)</f>
        <v/>
      </c>
    </row>
    <row r="13" ht="18" customHeight="1" s="35">
      <c r="A13" s="6" t="inlineStr">
        <is>
          <t>V8 – Authorization</t>
        </is>
      </c>
      <c r="B13" s="7" t="n">
        <v>13</v>
      </c>
      <c r="C13" s="7" t="n">
        <v>4</v>
      </c>
      <c r="D13" s="7">
        <f>COUNTIFS('V8 - Authorization'!$F$2:$F$18,"Compliant",'V8 - Authorization'!$E$2:$E$18,1)</f>
        <v/>
      </c>
      <c r="E13" s="8">
        <f>IF(C13=0,"",D13/C13)</f>
        <v/>
      </c>
      <c r="F13" s="7" t="n">
        <v>3</v>
      </c>
      <c r="G13" s="7">
        <f>COUNTIFS('V8 - Authorization'!$F$2:$F$18,"Compliant",'V8 - Authorization'!$E$2:$E$18,2)</f>
        <v/>
      </c>
      <c r="H13" s="8">
        <f>IF(F13=0,"",G13/F13)</f>
        <v/>
      </c>
      <c r="I13" s="7" t="n">
        <v>6</v>
      </c>
      <c r="J13" s="7">
        <f>COUNTIFS('V8 - Authorization'!$F$2:$F$18,"Compliant",'V8 - Authorization'!$E$2:$E$18,3)</f>
        <v/>
      </c>
      <c r="K13" s="8">
        <f>IF(I13=0,"",J13/I13)</f>
        <v/>
      </c>
      <c r="L13" s="7">
        <f>COUNTIF('V8 - Authorization'!$F$2:$F$18,"Compliant")</f>
        <v/>
      </c>
      <c r="M13" s="8">
        <f>IF(B13=0,"",L13/B13)</f>
        <v/>
      </c>
    </row>
    <row r="14" ht="18" customHeight="1" s="35">
      <c r="A14" s="3" t="inlineStr">
        <is>
          <t>V9 – Self-contained Tokens</t>
        </is>
      </c>
      <c r="B14" s="4" t="n">
        <v>7</v>
      </c>
      <c r="C14" s="4" t="n">
        <v>4</v>
      </c>
      <c r="D14" s="4">
        <f>COUNTIFS('V9 - Self-contained Tokens'!$F$2:$F$10,"Compliant",'V9 - Self-contained Tokens'!$E$2:$E$10,1)</f>
        <v/>
      </c>
      <c r="E14" s="5">
        <f>IF(C14=0,"",D14/C14)</f>
        <v/>
      </c>
      <c r="F14" s="4" t="n">
        <v>3</v>
      </c>
      <c r="G14" s="4">
        <f>COUNTIFS('V9 - Self-contained Tokens'!$F$2:$F$10,"Compliant",'V9 - Self-contained Tokens'!$E$2:$E$10,2)</f>
        <v/>
      </c>
      <c r="H14" s="5">
        <f>IF(F14=0,"",G14/F14)</f>
        <v/>
      </c>
      <c r="I14" s="4" t="n">
        <v>0</v>
      </c>
      <c r="J14" s="4" t="inlineStr">
        <is>
          <t>N/A</t>
        </is>
      </c>
      <c r="K14" s="4" t="inlineStr">
        <is>
          <t>N/A</t>
        </is>
      </c>
      <c r="L14" s="4">
        <f>COUNTIF('V9 - Self-contained Tokens'!$F$2:$F$10,"Compliant")</f>
        <v/>
      </c>
      <c r="M14" s="5">
        <f>IF(B14=0,"",L14/B14)</f>
        <v/>
      </c>
    </row>
    <row r="15" ht="18" customHeight="1" s="35">
      <c r="A15" s="6" t="inlineStr">
        <is>
          <t>V10 – OAuth and OIDC</t>
        </is>
      </c>
      <c r="B15" s="7" t="n">
        <v>36</v>
      </c>
      <c r="C15" s="7" t="n">
        <v>5</v>
      </c>
      <c r="D15" s="7">
        <f>COUNTIFS('V10 - OAuth and OIDC'!$F$2:$F$44,"Compliant",'V10 - OAuth and OIDC'!$E$2:$E$44,1)</f>
        <v/>
      </c>
      <c r="E15" s="8">
        <f>IF(C15=0,"",D15/C15)</f>
        <v/>
      </c>
      <c r="F15" s="7" t="n">
        <v>24</v>
      </c>
      <c r="G15" s="7">
        <f>COUNTIFS('V10 - OAuth and OIDC'!$F$2:$F$44,"Compliant",'V10 - OAuth and OIDC'!$E$2:$E$44,2)</f>
        <v/>
      </c>
      <c r="H15" s="8">
        <f>IF(F15=0,"",G15/F15)</f>
        <v/>
      </c>
      <c r="I15" s="7" t="n">
        <v>7</v>
      </c>
      <c r="J15" s="7">
        <f>COUNTIFS('V10 - OAuth and OIDC'!$F$2:$F$44,"Compliant",'V10 - OAuth and OIDC'!$E$2:$E$44,3)</f>
        <v/>
      </c>
      <c r="K15" s="8">
        <f>IF(I15=0,"",J15/I15)</f>
        <v/>
      </c>
      <c r="L15" s="7">
        <f>COUNTIF('V10 - OAuth and OIDC'!$F$2:$F$44,"Compliant")</f>
        <v/>
      </c>
      <c r="M15" s="8">
        <f>IF(B15=0,"",L15/B15)</f>
        <v/>
      </c>
    </row>
    <row r="16" ht="18" customHeight="1" s="35">
      <c r="A16" s="3" t="inlineStr">
        <is>
          <t>V11 – Cryptography</t>
        </is>
      </c>
      <c r="B16" s="4" t="n">
        <v>24</v>
      </c>
      <c r="C16" s="4" t="n">
        <v>3</v>
      </c>
      <c r="D16" s="4">
        <f>COUNTIFS('V11 - Cryptography'!$F$2:$F$32,"Compliant",'V11 - Cryptography'!$E$2:$E$32,1)</f>
        <v/>
      </c>
      <c r="E16" s="5">
        <f>IF(C16=0,"",D16/C16)</f>
        <v/>
      </c>
      <c r="F16" s="4" t="n">
        <v>11</v>
      </c>
      <c r="G16" s="4">
        <f>COUNTIFS('V11 - Cryptography'!$F$2:$F$32,"Compliant",'V11 - Cryptography'!$E$2:$E$32,2)</f>
        <v/>
      </c>
      <c r="H16" s="5">
        <f>IF(F16=0,"",G16/F16)</f>
        <v/>
      </c>
      <c r="I16" s="4" t="n">
        <v>10</v>
      </c>
      <c r="J16" s="4">
        <f>COUNTIFS('V11 - Cryptography'!$F$2:$F$32,"Compliant",'V11 - Cryptography'!$E$2:$E$32,3)</f>
        <v/>
      </c>
      <c r="K16" s="5">
        <f>IF(I16=0,"",J16/I16)</f>
        <v/>
      </c>
      <c r="L16" s="4">
        <f>COUNTIF('V11 - Cryptography'!$F$2:$F$32,"Compliant")</f>
        <v/>
      </c>
      <c r="M16" s="5">
        <f>IF(B16=0,"",L16/B16)</f>
        <v/>
      </c>
    </row>
    <row r="17" ht="18" customHeight="1" s="35">
      <c r="A17" s="6" t="inlineStr">
        <is>
          <t>V12 – Secure Communication</t>
        </is>
      </c>
      <c r="B17" s="7" t="n">
        <v>12</v>
      </c>
      <c r="C17" s="7" t="n">
        <v>3</v>
      </c>
      <c r="D17" s="7">
        <f>COUNTIFS('V12 - Secure Communication'!$F$2:$F$16,"Compliant",'V12 - Secure Communication'!$E$2:$E$16,1)</f>
        <v/>
      </c>
      <c r="E17" s="8">
        <f>IF(C17=0,"",D17/C17)</f>
        <v/>
      </c>
      <c r="F17" s="7" t="n">
        <v>6</v>
      </c>
      <c r="G17" s="7">
        <f>COUNTIFS('V12 - Secure Communication'!$F$2:$F$16,"Compliant",'V12 - Secure Communication'!$E$2:$E$16,2)</f>
        <v/>
      </c>
      <c r="H17" s="8">
        <f>IF(F17=0,"",G17/F17)</f>
        <v/>
      </c>
      <c r="I17" s="7" t="n">
        <v>3</v>
      </c>
      <c r="J17" s="7">
        <f>COUNTIFS('V12 - Secure Communication'!$F$2:$F$16,"Compliant",'V12 - Secure Communication'!$E$2:$E$16,3)</f>
        <v/>
      </c>
      <c r="K17" s="8">
        <f>IF(I17=0,"",J17/I17)</f>
        <v/>
      </c>
      <c r="L17" s="7">
        <f>COUNTIF('V12 - Secure Communication'!$F$2:$F$16,"Compliant")</f>
        <v/>
      </c>
      <c r="M17" s="8">
        <f>IF(B17=0,"",L17/B17)</f>
        <v/>
      </c>
    </row>
    <row r="18" ht="18" customHeight="1" s="35">
      <c r="A18" s="3" t="inlineStr">
        <is>
          <t>V13 – Configuration</t>
        </is>
      </c>
      <c r="B18" s="4" t="n">
        <v>21</v>
      </c>
      <c r="C18" s="4" t="n">
        <v>1</v>
      </c>
      <c r="D18" s="4">
        <f>COUNTIFS('V13 - Configuration'!$F$2:$F$26,"Compliant",'V13 - Configuration'!$E$2:$E$26,1)</f>
        <v/>
      </c>
      <c r="E18" s="5">
        <f>IF(C18=0,"",D18/C18)</f>
        <v/>
      </c>
      <c r="F18" s="4" t="n">
        <v>12</v>
      </c>
      <c r="G18" s="4">
        <f>COUNTIFS('V13 - Configuration'!$F$2:$F$26,"Compliant",'V13 - Configuration'!$E$2:$E$26,2)</f>
        <v/>
      </c>
      <c r="H18" s="5">
        <f>IF(F18=0,"",G18/F18)</f>
        <v/>
      </c>
      <c r="I18" s="4" t="n">
        <v>8</v>
      </c>
      <c r="J18" s="4">
        <f>COUNTIFS('V13 - Configuration'!$F$2:$F$26,"Compliant",'V13 - Configuration'!$E$2:$E$26,3)</f>
        <v/>
      </c>
      <c r="K18" s="5">
        <f>IF(I18=0,"",J18/I18)</f>
        <v/>
      </c>
      <c r="L18" s="4">
        <f>COUNTIF('V13 - Configuration'!$F$2:$F$26,"Compliant")</f>
        <v/>
      </c>
      <c r="M18" s="5">
        <f>IF(B18=0,"",L18/B18)</f>
        <v/>
      </c>
    </row>
    <row r="19" ht="18" customHeight="1" s="35">
      <c r="A19" s="6" t="inlineStr">
        <is>
          <t>V14 – Data Protection</t>
        </is>
      </c>
      <c r="B19" s="7" t="n">
        <v>13</v>
      </c>
      <c r="C19" s="7" t="n">
        <v>2</v>
      </c>
      <c r="D19" s="7">
        <f>COUNTIFS('V14 - Data Protection'!$F$2:$F$17,"Compliant",'V14 - Data Protection'!$E$2:$E$17,1)</f>
        <v/>
      </c>
      <c r="E19" s="8">
        <f>IF(C19=0,"",D19/C19)</f>
        <v/>
      </c>
      <c r="F19" s="7" t="n">
        <v>7</v>
      </c>
      <c r="G19" s="7">
        <f>COUNTIFS('V14 - Data Protection'!$F$2:$F$17,"Compliant",'V14 - Data Protection'!$E$2:$E$17,2)</f>
        <v/>
      </c>
      <c r="H19" s="8">
        <f>IF(F19=0,"",G19/F19)</f>
        <v/>
      </c>
      <c r="I19" s="7" t="n">
        <v>4</v>
      </c>
      <c r="J19" s="7">
        <f>COUNTIFS('V14 - Data Protection'!$F$2:$F$17,"Compliant",'V14 - Data Protection'!$E$2:$E$17,3)</f>
        <v/>
      </c>
      <c r="K19" s="8">
        <f>IF(I19=0,"",J19/I19)</f>
        <v/>
      </c>
      <c r="L19" s="7">
        <f>COUNTIF('V14 - Data Protection'!$F$2:$F$17,"Compliant")</f>
        <v/>
      </c>
      <c r="M19" s="8">
        <f>IF(B19=0,"",L19/B19)</f>
        <v/>
      </c>
    </row>
    <row r="20" ht="18" customHeight="1" s="35">
      <c r="A20" s="3" t="inlineStr">
        <is>
          <t>V15 – Secure Coding and Architecture</t>
        </is>
      </c>
      <c r="B20" s="4" t="n">
        <v>21</v>
      </c>
      <c r="C20" s="4" t="n">
        <v>3</v>
      </c>
      <c r="D20" s="4">
        <f>COUNTIFS('V15 - Secure Coding and Archite'!$F$2:$F$26,"Compliant",'V15 - Secure Coding and Archite'!$E$2:$E$26,1)</f>
        <v/>
      </c>
      <c r="E20" s="5">
        <f>IF(C20=0,"",D20/C20)</f>
        <v/>
      </c>
      <c r="F20" s="4" t="n">
        <v>10</v>
      </c>
      <c r="G20" s="4">
        <f>COUNTIFS('V15 - Secure Coding and Archite'!$F$2:$F$26,"Compliant",'V15 - Secure Coding and Archite'!$E$2:$E$26,2)</f>
        <v/>
      </c>
      <c r="H20" s="5">
        <f>IF(F20=0,"",G20/F20)</f>
        <v/>
      </c>
      <c r="I20" s="4" t="n">
        <v>8</v>
      </c>
      <c r="J20" s="4">
        <f>COUNTIFS('V15 - Secure Coding and Archite'!$F$2:$F$26,"Compliant",'V15 - Secure Coding and Archite'!$E$2:$E$26,3)</f>
        <v/>
      </c>
      <c r="K20" s="5">
        <f>IF(I20=0,"",J20/I20)</f>
        <v/>
      </c>
      <c r="L20" s="4">
        <f>COUNTIF('V15 - Secure Coding and Archite'!$F$2:$F$26,"Compliant")</f>
        <v/>
      </c>
      <c r="M20" s="5">
        <f>IF(B20=0,"",L20/B20)</f>
        <v/>
      </c>
    </row>
    <row r="21" ht="18" customHeight="1" s="35">
      <c r="A21" s="6" t="inlineStr">
        <is>
          <t>V16 – Security Logging and Error Handling</t>
        </is>
      </c>
      <c r="B21" s="7" t="n">
        <v>17</v>
      </c>
      <c r="C21" s="7" t="n">
        <v>0</v>
      </c>
      <c r="D21" s="7" t="inlineStr">
        <is>
          <t>N/A</t>
        </is>
      </c>
      <c r="E21" s="7" t="inlineStr">
        <is>
          <t>N/A</t>
        </is>
      </c>
      <c r="F21" s="7" t="n">
        <v>16</v>
      </c>
      <c r="G21" s="7">
        <f>COUNTIFS('V16 - Security Logging and Erro'!$F$2:$F$23,"Compliant",'V16 - Security Logging and Erro'!$E$2:$E$23,2)</f>
        <v/>
      </c>
      <c r="H21" s="8">
        <f>IF(F21=0,"",G21/F21)</f>
        <v/>
      </c>
      <c r="I21" s="7" t="n">
        <v>1</v>
      </c>
      <c r="J21" s="7">
        <f>COUNTIFS('V16 - Security Logging and Erro'!$F$2:$F$23,"Compliant",'V16 - Security Logging and Erro'!$E$2:$E$23,3)</f>
        <v/>
      </c>
      <c r="K21" s="8">
        <f>IF(I21=0,"",J21/I21)</f>
        <v/>
      </c>
      <c r="L21" s="7">
        <f>COUNTIF('V16 - Security Logging and Erro'!$F$2:$F$23,"Compliant")</f>
        <v/>
      </c>
      <c r="M21" s="8">
        <f>IF(B21=0,"",L21/B21)</f>
        <v/>
      </c>
    </row>
    <row r="22" ht="18" customHeight="1" s="35">
      <c r="A22" s="3" t="inlineStr">
        <is>
          <t>V17 – WebRTC</t>
        </is>
      </c>
      <c r="B22" s="4" t="n">
        <v>12</v>
      </c>
      <c r="C22" s="4" t="n">
        <v>0</v>
      </c>
      <c r="D22" s="4" t="inlineStr">
        <is>
          <t>N/A</t>
        </is>
      </c>
      <c r="E22" s="4" t="inlineStr">
        <is>
          <t>N/A</t>
        </is>
      </c>
      <c r="F22" s="4" t="n">
        <v>7</v>
      </c>
      <c r="G22" s="4">
        <f>COUNTIFS('V17 - WebRTC'!$F$2:$F$16,"Compliant",'V17 - WebRTC'!$E$2:$E$16,2)</f>
        <v/>
      </c>
      <c r="H22" s="5">
        <f>IF(F22=0,"",G22/F22)</f>
        <v/>
      </c>
      <c r="I22" s="4" t="n">
        <v>5</v>
      </c>
      <c r="J22" s="4">
        <f>COUNTIFS('V17 - WebRTC'!$F$2:$F$16,"Compliant",'V17 - WebRTC'!$E$2:$E$16,3)</f>
        <v/>
      </c>
      <c r="K22" s="5">
        <f>IF(I22=0,"",J22/I22)</f>
        <v/>
      </c>
      <c r="L22" s="4">
        <f>COUNTIF('V17 - WebRTC'!$F$2:$F$16,"Compliant")</f>
        <v/>
      </c>
      <c r="M22" s="5">
        <f>IF(B22=0,"",L22/B22)</f>
        <v/>
      </c>
    </row>
    <row r="23" ht="21.95" customHeight="1" s="35">
      <c r="A23" s="9" t="inlineStr">
        <is>
          <t>TOTAL</t>
        </is>
      </c>
      <c r="B23" s="10">
        <f>SUM(B6:B22)</f>
        <v/>
      </c>
      <c r="C23" s="10">
        <f>SUM(C6:C22)</f>
        <v/>
      </c>
      <c r="D23" s="10">
        <f>SUM(D6:D22)</f>
        <v/>
      </c>
      <c r="E23" s="11">
        <f>IFERROR(AVERAGE(E6:E22),"")</f>
        <v/>
      </c>
      <c r="F23" s="10">
        <f>SUM(F6:F22)</f>
        <v/>
      </c>
      <c r="G23" s="10">
        <f>SUM(G6:G22)</f>
        <v/>
      </c>
      <c r="H23" s="11">
        <f>IFERROR(AVERAGE(H6:H22),"")</f>
        <v/>
      </c>
      <c r="I23" s="10">
        <f>SUM(I6:I22)</f>
        <v/>
      </c>
      <c r="J23" s="10">
        <f>SUM(J6:J22)</f>
        <v/>
      </c>
      <c r="K23" s="11">
        <f>IFERROR(AVERAGE(K6:K22),"")</f>
        <v/>
      </c>
      <c r="L23" s="10">
        <f>SUM(L6:L22)</f>
        <v/>
      </c>
      <c r="M23" s="11">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ColWidth="8.85546875" defaultRowHeight="15"/>
  <cols>
    <col width="110" customWidth="1" style="35" min="1" max="1"/>
  </cols>
  <sheetData>
    <row r="1" ht="18.75" customHeight="1" s="35">
      <c r="A1" s="24" t="inlineStr">
        <is>
          <t>Assessment methodology</t>
        </is>
      </c>
    </row>
    <row r="2">
      <c r="A2" s="25" t="n"/>
    </row>
    <row r="3">
      <c r="A3" s="26" t="inlineStr">
        <is>
          <t>Scope</t>
        </is>
      </c>
    </row>
    <row r="4">
      <c r="A4" s="25" t="inlineStr">
        <is>
          <t>Updated for Phase 2 Sprint 2 from the Phase 2 Sprint 1 ASVS workbook, preserving the original ASVS chapter structure and formulas.</t>
        </is>
      </c>
    </row>
    <row r="5" ht="30" customHeight="1" s="35">
      <c r="A5" s="25" t="inlineStr">
        <is>
          <t>GhostReport is assessed as a Spring Boot whistleblowing application with anonymous reporting, tracking codes, internal JWT authentication, MFA for internal roles, RBAC, uploads, audit logs, security alerts, backups, and DevSecOps evidence.</t>
        </is>
      </c>
    </row>
    <row r="6">
      <c r="A6" s="25" t="n"/>
    </row>
    <row r="7">
      <c r="A7" s="26" t="inlineStr">
        <is>
          <t>Status logic</t>
        </is>
      </c>
    </row>
    <row r="8">
      <c r="A8" s="25" t="inlineStr">
        <is>
          <t>Compliant = implemented and supported by code, tests, workflow evidence, generated artefacts, or Sprint 2 documentation.</t>
        </is>
      </c>
    </row>
    <row r="9">
      <c r="A9" s="25" t="inlineStr">
        <is>
          <t>In Progress = partially implemented, dependent on production configuration, external service, operational process, or not fully evidenced end-to-end in Sprint 2.</t>
        </is>
      </c>
    </row>
    <row r="10" ht="30" customHeight="1" s="35">
      <c r="A10" s="25" t="inlineStr">
        <is>
          <t>Not Applicable = out of scope for GhostReport, such as OAuth/OIDC provider features, WebRTC, LDAP, GraphQL, WebSockets, or browser cookie controls not used by the JWT API design.</t>
        </is>
      </c>
    </row>
    <row r="11">
      <c r="A11" s="25" t="n"/>
    </row>
    <row r="12">
      <c r="A12" s="26" t="inlineStr">
        <is>
          <t>Sprint 2 evidence used</t>
        </is>
      </c>
    </row>
    <row r="13">
      <c r="A13" s="25" t="inlineStr">
        <is>
          <t>mvn test: 267 tests, 0 failures, 0 errors, 0 skipped.</t>
        </is>
      </c>
    </row>
    <row r="14">
      <c r="A14" s="25" t="inlineStr">
        <is>
          <t>Runtime security evidence / IAST-like academic evidence: 101 probes, 101 passed, 0 failed, 0 skipped. No external IAST agent, taint tracking, or source-to-sink telemetry is claimed.</t>
        </is>
      </c>
    </row>
    <row r="15">
      <c r="A15" s="26" t="inlineStr">
        <is>
          <t>Dependency-Check 12.1.0: 0 unsuppressed vulnerabilities, 2 documented/suppressed findings; Spring Security resolved to 6.5.11.</t>
        </is>
      </c>
    </row>
    <row r="16">
      <c r="A16" s="25" t="inlineStr">
        <is>
          <t>Primary references: PHASE2_SPRINT2_REPORT.md, SECURITY_TESTING.md, DEVSECOPS_PIPELINE.md, SCA_TRIAGE.md, IAST_RUNTIME_SECURITY.md, AUTHORIZATION_MATRIX.md, SECURE_INSTALLATION.md.</t>
        </is>
      </c>
    </row>
    <row r="17">
      <c r="A17" s="25" t="n"/>
    </row>
    <row r="18">
      <c r="A18" t="inlineStr">
        <is>
          <t>Important note about the template</t>
        </is>
      </c>
    </row>
    <row r="19">
      <c r="A19" t="inlineStr">
        <is>
          <t>The Summary sheet keeps the Sprint 1 workbook formulas and recalculates from each chapter sheet when opened in Excel. Not Applicable rows remain part of the ASVS template and may affect displayed percentages depending on the formula.</t>
        </is>
      </c>
    </row>
    <row r="20">
      <c r="A20" s="25" t="inlineStr">
        <is>
          <t>Sprint 2 code hardening added after ASVS review: MFA challenge max-attempt lockout, service-level password policy checks, centralized no-store/no-cache headers, strict CSP/HSTS/CORP/COOP/COEP headers, Fetch Metadata/Origin validation, request header boundary checks, production TLS/verified PostgreSQL TLS validation, resource-limit validation, and report-submission rate limiting.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6"/>
  <sheetViews>
    <sheetView topLeftCell="A3" zoomScale="80" zoomScaleNormal="80" workbookViewId="0">
      <selection activeCell="H36" sqref="H3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4.42578125" bestFit="1"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V1.1</t>
        </is>
      </c>
      <c r="B2" s="13" t="inlineStr">
        <is>
          <t>Encoding and Sanitization Architecture</t>
        </is>
      </c>
      <c r="C2" s="13" t="n"/>
      <c r="D2" s="13" t="n"/>
      <c r="E2" s="13" t="n"/>
      <c r="F2" s="13" t="n"/>
      <c r="G2" s="13" t="n"/>
      <c r="H2" s="13" t="n"/>
    </row>
    <row r="3" ht="75" customHeight="1" s="35">
      <c r="A3" s="14" t="inlineStr">
        <is>
          <t>V1.1</t>
        </is>
      </c>
      <c r="B3" s="14" t="inlineStr">
        <is>
          <t>Encoding and Sanitization Architecture</t>
        </is>
      </c>
      <c r="C3" s="15" t="inlineStr">
        <is>
          <t>V1.1.1</t>
        </is>
      </c>
      <c r="D3" s="16"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17" t="n">
        <v>2</v>
      </c>
      <c r="F3" s="18" t="inlineStr">
        <is>
          <t>Compliant</t>
        </is>
      </c>
      <c r="G3" s="40" t="inlineStr">
        <is>
          <t>Canonicalization and normalization are evidenced for tracking codes, filenames/path handling, DTO validation and controlled JSON input processing in Sprint 2.</t>
        </is>
      </c>
      <c r="H3" s="40" t="inlineStr">
        <is>
          <t>TrackingCode.java; SafeFilename.java; FileStorageService.java; DTOs; SECURITY_TESTING.md; runtime-endpoints.md</t>
        </is>
      </c>
    </row>
    <row r="4" ht="60" customHeight="1" s="35">
      <c r="A4" s="19" t="inlineStr">
        <is>
          <t>V1.1</t>
        </is>
      </c>
      <c r="B4" s="19" t="inlineStr">
        <is>
          <t>Encoding and Sanitization Architecture</t>
        </is>
      </c>
      <c r="C4" s="20" t="inlineStr">
        <is>
          <t>V1.1.2</t>
        </is>
      </c>
      <c r="D4" s="21" t="inlineStr">
        <is>
          <t>Verify that the application performs output encoding and escaping either as a final step before being used by the interpreter for which it is intended or by the interpreter itself.</t>
        </is>
      </c>
      <c r="E4" s="17" t="n">
        <v>2</v>
      </c>
      <c r="F4" s="18" t="inlineStr">
        <is>
          <t>Compliant</t>
        </is>
      </c>
      <c r="G4" s="41" t="inlineStr">
        <is>
          <t>Frontend rendering now uses centralized DOM helpers based on textContent/createTextNode, backend responses use framework JSON serialization, and tests block dangerous HTML parsing sinks and inline handlers.</t>
        </is>
      </c>
      <c r="H4" s="41" t="inlineStr">
        <is>
          <t>src/main/resources/static/js/dom.js; FrontendXssDataExposureTest; SecurityHeadersTest</t>
        </is>
      </c>
    </row>
    <row r="5" ht="18" customHeight="1" s="35">
      <c r="A5" s="13" t="inlineStr">
        <is>
          <t>V1.2</t>
        </is>
      </c>
      <c r="B5" s="13" t="inlineStr">
        <is>
          <t>Injection Prevention</t>
        </is>
      </c>
      <c r="C5" s="13" t="n"/>
      <c r="D5" s="13" t="n"/>
      <c r="E5" s="13" t="n"/>
      <c r="F5" s="13" t="n"/>
      <c r="G5" s="13" t="n"/>
      <c r="H5" s="13" t="n"/>
    </row>
    <row r="6" ht="90" customHeight="1" s="35">
      <c r="A6" s="14" t="inlineStr">
        <is>
          <t>V1.2</t>
        </is>
      </c>
      <c r="B6" s="14" t="inlineStr">
        <is>
          <t>Injection Prevention</t>
        </is>
      </c>
      <c r="C6" s="15" t="inlineStr">
        <is>
          <t>V1.2.1</t>
        </is>
      </c>
      <c r="D6" s="16"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22" t="n">
        <v>1</v>
      </c>
      <c r="F6" s="18" t="inlineStr">
        <is>
          <t>Compliant</t>
        </is>
      </c>
      <c r="G6" s="40" t="inlineStr">
        <is>
          <t>Contextual output handling is evidenced for static pages and API-rendered data through safe DOM rendering tests, external scripts only, and runtime leakage checks.</t>
        </is>
      </c>
      <c r="H6" s="40" t="inlineStr">
        <is>
          <t>FrontendXssDataExposureTest; runtime-endpoints.md; IAST_RUNTIME_SECURITY.md</t>
        </is>
      </c>
    </row>
    <row r="7" ht="60" customHeight="1" s="35">
      <c r="A7" s="19" t="inlineStr">
        <is>
          <t>V1.2</t>
        </is>
      </c>
      <c r="B7" s="19" t="inlineStr">
        <is>
          <t>Injection Prevention</t>
        </is>
      </c>
      <c r="C7" s="20" t="inlineStr">
        <is>
          <t>V1.2.2</t>
        </is>
      </c>
      <c r="D7" s="21" t="inlineStr">
        <is>
          <t>Verify that when dynamically building URLs, untrusted data is encoded according to its context (e.g., URL encoding or base64url encoding for query or path parameters). Ensure that only safe URL protocols are permitted (e.g., disallow javascript: or data:).</t>
        </is>
      </c>
      <c r="E7" s="22" t="n">
        <v>1</v>
      </c>
      <c r="F7" s="18" t="inlineStr">
        <is>
          <t>Compliant</t>
        </is>
      </c>
      <c r="G7" s="41" t="inlineStr">
        <is>
          <t>Tracking codes are submitted in request bodies rather than URLs and generated/download URLs are controlled/encoded by application code.</t>
        </is>
      </c>
      <c r="H7" s="41" t="inlineStr">
        <is>
          <t>ReportController.java; AdminBackupController.java; runtime-endpoints.md</t>
        </is>
      </c>
    </row>
    <row r="8" ht="60" customHeight="1" s="35">
      <c r="A8" s="14" t="inlineStr">
        <is>
          <t>V1.2</t>
        </is>
      </c>
      <c r="B8" s="14" t="inlineStr">
        <is>
          <t>Injection Prevention</t>
        </is>
      </c>
      <c r="C8" s="15" t="inlineStr">
        <is>
          <t>V1.2.3</t>
        </is>
      </c>
      <c r="D8" s="16" t="inlineStr">
        <is>
          <t>Verify that output encoding or escaping is used when dynamically building JavaScript content (including JSON), to avoid changing the message or document structure (to avoid JavaScript and JSON injection).</t>
        </is>
      </c>
      <c r="E8" s="22" t="n">
        <v>1</v>
      </c>
      <c r="F8" s="18" t="inlineStr">
        <is>
          <t>Compliant</t>
        </is>
      </c>
      <c r="G8" s="40" t="inlineStr">
        <is>
          <t>No dynamic JavaScript/JSON is built through HTML parsing sinks; frontend tests require external scripts and safe DOM node creation.</t>
        </is>
      </c>
      <c r="H8" s="40" t="inlineStr">
        <is>
          <t>FrontendXssDataExposureTest; src/main/resources/static/js/dom.js</t>
        </is>
      </c>
    </row>
    <row r="9" ht="75" customHeight="1" s="35">
      <c r="A9" s="19" t="inlineStr">
        <is>
          <t>V1.2</t>
        </is>
      </c>
      <c r="B9" s="19" t="inlineStr">
        <is>
          <t>Injection Prevention</t>
        </is>
      </c>
      <c r="C9" s="20" t="inlineStr">
        <is>
          <t>V1.2.4</t>
        </is>
      </c>
      <c r="D9" s="21"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22" t="n">
        <v>1</v>
      </c>
      <c r="F9" s="18" t="inlineStr">
        <is>
          <t>Compliant</t>
        </is>
      </c>
      <c r="G9" s="21" t="inlineStr">
        <is>
          <t>Database access uses Spring Data/JPA derived methods and bound JPQL; no dynamic SQL/HQL concatenation was found.</t>
        </is>
      </c>
      <c r="H9" s="21" t="inlineStr">
        <is>
          <t>ReportRepository.java; UserRepository.java; DatabaseConstraintInitializer.java; pom.xml</t>
        </is>
      </c>
    </row>
    <row r="10" ht="45" customHeight="1" s="35">
      <c r="A10" s="14" t="inlineStr">
        <is>
          <t>V1.2</t>
        </is>
      </c>
      <c r="B10" s="14" t="inlineStr">
        <is>
          <t>Injection Prevention</t>
        </is>
      </c>
      <c r="C10" s="15" t="inlineStr">
        <is>
          <t>V1.2.5</t>
        </is>
      </c>
      <c r="D10" s="16" t="inlineStr">
        <is>
          <t>Verify that the application protects against OS command injection and that operating system calls use parameterized OS queries or use contextual command line output encoding.</t>
        </is>
      </c>
      <c r="E10" s="22" t="n">
        <v>1</v>
      </c>
      <c r="F10" s="18" t="inlineStr">
        <is>
          <t>Compliant</t>
        </is>
      </c>
      <c r="G10" s="40" t="inlineStr">
        <is>
          <t>No shell-based command execution is used for normal application flows; backups and file operations use Java services/APIs.</t>
        </is>
      </c>
      <c r="H10" s="40" t="inlineStr">
        <is>
          <t>BackupService.java; FileStorageService.java; SpotBugs/CodeQL evidence</t>
        </is>
      </c>
    </row>
    <row r="11" ht="45" customHeight="1" s="35">
      <c r="A11" s="19" t="inlineStr">
        <is>
          <t>V1.2</t>
        </is>
      </c>
      <c r="B11" s="19" t="inlineStr">
        <is>
          <t>Injection Prevention</t>
        </is>
      </c>
      <c r="C11" s="20" t="inlineStr">
        <is>
          <t>V1.2.6</t>
        </is>
      </c>
      <c r="D11" s="21" t="inlineStr">
        <is>
          <t>Verify that the application protects against LDAP injection vulnerabilities, or that specific security controls to prevent LDAP injection have been implemented.</t>
        </is>
      </c>
      <c r="E11" s="17" t="n">
        <v>2</v>
      </c>
      <c r="F11" s="18" t="inlineStr">
        <is>
          <t>Not Applicable</t>
        </is>
      </c>
      <c r="G11" s="21" t="inlineStr">
        <is>
          <t>Not applicable in the current system design.</t>
        </is>
      </c>
      <c r="H11" s="21" t="inlineStr">
        <is>
          <t>N/A – not in current system scope</t>
        </is>
      </c>
    </row>
    <row r="12" ht="30" customHeight="1" s="35">
      <c r="A12" s="14" t="inlineStr">
        <is>
          <t>V1.2</t>
        </is>
      </c>
      <c r="B12" s="14" t="inlineStr">
        <is>
          <t>Injection Prevention</t>
        </is>
      </c>
      <c r="C12" s="15" t="inlineStr">
        <is>
          <t>V1.2.7</t>
        </is>
      </c>
      <c r="D12" s="16" t="inlineStr">
        <is>
          <t>Verify that the application is protected against XPath injection attacks by using query parameterization or precompiled queries.</t>
        </is>
      </c>
      <c r="E12" s="17" t="n">
        <v>2</v>
      </c>
      <c r="F12" s="18" t="inlineStr">
        <is>
          <t>Not Applicable</t>
        </is>
      </c>
      <c r="G12" s="16" t="inlineStr">
        <is>
          <t>Not applicable in the current system design.</t>
        </is>
      </c>
      <c r="H12" s="16" t="inlineStr">
        <is>
          <t>N/A – not in current system scope</t>
        </is>
      </c>
    </row>
    <row r="13" ht="45" customHeight="1" s="35">
      <c r="A13" s="19" t="inlineStr">
        <is>
          <t>V1.2</t>
        </is>
      </c>
      <c r="B13" s="19" t="inlineStr">
        <is>
          <t>Injection Prevention</t>
        </is>
      </c>
      <c r="C13" s="20" t="inlineStr">
        <is>
          <t>V1.2.8</t>
        </is>
      </c>
      <c r="D13" s="21" t="inlineStr">
        <is>
          <t>Verify that LaTeX processors are configured securely (such as not using the "--shell-escape" flag) and an allowlist of commands is used to prevent LaTeX injection attacks.</t>
        </is>
      </c>
      <c r="E13" s="17" t="n">
        <v>2</v>
      </c>
      <c r="F13" s="18" t="inlineStr">
        <is>
          <t>Not Applicable</t>
        </is>
      </c>
      <c r="G13" s="21" t="inlineStr">
        <is>
          <t>Not applicable in the current system design.</t>
        </is>
      </c>
      <c r="H13" s="21" t="inlineStr">
        <is>
          <t>N/A – not in current system scope</t>
        </is>
      </c>
    </row>
    <row r="14" ht="45" customHeight="1" s="35">
      <c r="A14" s="14" t="inlineStr">
        <is>
          <t>V1.2</t>
        </is>
      </c>
      <c r="B14" s="14" t="inlineStr">
        <is>
          <t>Injection Prevention</t>
        </is>
      </c>
      <c r="C14" s="15" t="inlineStr">
        <is>
          <t>V1.2.9</t>
        </is>
      </c>
      <c r="D14" s="16" t="inlineStr">
        <is>
          <t>Verify that the application escapes special characters in regular expressions (typically using a backslash) to prevent them from being misinterpreted as metacharacters.</t>
        </is>
      </c>
      <c r="E14" s="17" t="n">
        <v>2</v>
      </c>
      <c r="F14" s="18" t="inlineStr">
        <is>
          <t>Compliant</t>
        </is>
      </c>
      <c r="G14" s="16" t="inlineStr">
        <is>
          <t>Application regex usage is limited to fixed validation/security patterns; no user-controlled regular expression construction is used in the reviewed code path.</t>
        </is>
      </c>
      <c r="H14" s="16" t="inlineStr">
        <is>
          <t>TrackingCode.java; BackupService.java; FrontendXssDataExposureTest</t>
        </is>
      </c>
    </row>
    <row r="15" ht="120" customHeight="1" s="35">
      <c r="A15" s="19" t="inlineStr">
        <is>
          <t>V1.2</t>
        </is>
      </c>
      <c r="B15" s="19" t="inlineStr">
        <is>
          <t>Injection Prevention</t>
        </is>
      </c>
      <c r="C15" s="20" t="inlineStr">
        <is>
          <t>V1.2.10</t>
        </is>
      </c>
      <c r="D15" s="21"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23" t="n">
        <v>3</v>
      </c>
      <c r="F15" s="18" t="inlineStr">
        <is>
          <t>Not Started</t>
        </is>
      </c>
      <c r="G15" s="21" t="inlineStr">
        <is>
          <t>CSV/spreadsheet export protection is not implemented or specified. If CSV/XLSX/ODS export is introduced, dangerous leading characters must be escaped.</t>
        </is>
      </c>
      <c r="H15" s="21" t="inlineStr">
        <is>
          <t>Project.pdf: backend API, 3 roles, OS/file ops, ASVS deliverable</t>
        </is>
      </c>
    </row>
    <row r="16" ht="18" customHeight="1" s="35">
      <c r="A16" s="13" t="inlineStr">
        <is>
          <t>V1.3</t>
        </is>
      </c>
      <c r="B16" s="13" t="inlineStr">
        <is>
          <t>Sanitization</t>
        </is>
      </c>
      <c r="C16" s="13" t="n"/>
      <c r="D16" s="13" t="n"/>
      <c r="E16" s="13" t="n"/>
      <c r="F16" s="13" t="n"/>
      <c r="G16" s="13" t="n"/>
      <c r="H16" s="13" t="n"/>
    </row>
    <row r="17" ht="45" customHeight="1" s="35">
      <c r="A17" s="14" t="inlineStr">
        <is>
          <t>V1.3</t>
        </is>
      </c>
      <c r="B17" s="14" t="inlineStr">
        <is>
          <t>Sanitization</t>
        </is>
      </c>
      <c r="C17" s="15" t="inlineStr">
        <is>
          <t>V1.3.1</t>
        </is>
      </c>
      <c r="D17" s="16" t="inlineStr">
        <is>
          <t>Verify that all untrusted HTML input from WYSIWYG editors or similar is sanitized using a well-known and secure HTML sanitization library or framework feature.</t>
        </is>
      </c>
      <c r="E17" s="22" t="n">
        <v>1</v>
      </c>
      <c r="F17" s="18" t="inlineStr">
        <is>
          <t>Not Applicable</t>
        </is>
      </c>
      <c r="G17" s="16" t="inlineStr">
        <is>
          <t>Not applicable in the current system design.</t>
        </is>
      </c>
      <c r="H17" s="16" t="inlineStr">
        <is>
          <t>N/A – not in current system scope</t>
        </is>
      </c>
    </row>
    <row r="18" ht="78" customHeight="1" s="35">
      <c r="A18" s="19" t="inlineStr">
        <is>
          <t>V1.3</t>
        </is>
      </c>
      <c r="B18" s="19" t="inlineStr">
        <is>
          <t>Sanitization</t>
        </is>
      </c>
      <c r="C18" s="20" t="inlineStr">
        <is>
          <t>V1.3.2</t>
        </is>
      </c>
      <c r="D18" s="21" t="inlineStr">
        <is>
          <t>Verify that the application avoids the use of eval() or other dynamic code execution features such as Spring Expression Language (SpEL). Where there is no alternative, any user input being included must be sanitized before being executed.</t>
        </is>
      </c>
      <c r="E18" s="22" t="n">
        <v>1</v>
      </c>
      <c r="F18" s="18" t="inlineStr">
        <is>
          <t>Not Applicable</t>
        </is>
      </c>
      <c r="G18" s="21" t="inlineStr">
        <is>
          <t>No eval, dynamic code execution, or user-controlled SpEL usage was implemented.</t>
        </is>
      </c>
      <c r="H18" s="21" t="inlineStr">
        <is>
          <t>N/A – no dynamic code execution in current Sprint 1 scope</t>
        </is>
      </c>
    </row>
    <row r="19" ht="60" customHeight="1" s="35">
      <c r="A19" s="14" t="inlineStr">
        <is>
          <t>V1.3</t>
        </is>
      </c>
      <c r="B19" s="14" t="inlineStr">
        <is>
          <t>Sanitization</t>
        </is>
      </c>
      <c r="C19" s="15" t="inlineStr">
        <is>
          <t>V1.3.3</t>
        </is>
      </c>
      <c r="D19" s="16" t="inlineStr">
        <is>
          <t>Verify that data being passed to a potentially dangerous context is sanitized beforehand to enforce safety measures, such as only allowing characters which are safe for this context and trimming input which is too long.</t>
        </is>
      </c>
      <c r="E19" s="17" t="n">
        <v>2</v>
      </c>
      <c r="F19" s="18" t="inlineStr">
        <is>
          <t>Compliant</t>
        </is>
      </c>
      <c r="G19" s="16" t="inlineStr">
        <is>
          <t>Dangerous contexts now have targeted sanitization or validation: safe frontend DOM rendering, safe filenames/ZIP paths, log redaction, upload validation, and request header boundary checks.</t>
        </is>
      </c>
      <c r="H19" s="16" t="inlineStr">
        <is>
          <t>FileStorageService.java; BackupService.java; SecurityLogSanitizerTest; SecurityConfig.java; FrontendXssDataExposureTest</t>
        </is>
      </c>
    </row>
    <row r="20" ht="78" customHeight="1" s="35">
      <c r="A20" s="19" t="inlineStr">
        <is>
          <t>V1.3</t>
        </is>
      </c>
      <c r="B20" s="19" t="inlineStr">
        <is>
          <t>Sanitization</t>
        </is>
      </c>
      <c r="C20" s="20" t="inlineStr">
        <is>
          <t>V1.3.4</t>
        </is>
      </c>
      <c r="D20" s="21" t="inlineStr">
        <is>
          <t>Verify that user-supplied Scalable Vector Graphics (SVG) scriptable content is validated or sanitized to contain only tags and attributes (such as draw graphics) that are safe for the application, e.g., do not contain scripts and foreignObject.</t>
        </is>
      </c>
      <c r="E20" s="17" t="n">
        <v>2</v>
      </c>
      <c r="F20" s="18" t="inlineStr">
        <is>
          <t>Not Applicable</t>
        </is>
      </c>
      <c r="G20" s="21" t="inlineStr">
        <is>
          <t>Not applicable in the current system design.</t>
        </is>
      </c>
      <c r="H20" s="21" t="inlineStr">
        <is>
          <t>N/A – not in current system scope</t>
        </is>
      </c>
    </row>
    <row r="21" ht="30" customHeight="1" s="35">
      <c r="A21" s="14" t="inlineStr">
        <is>
          <t>V1.3</t>
        </is>
      </c>
      <c r="B21" s="14" t="inlineStr">
        <is>
          <t>Sanitization</t>
        </is>
      </c>
      <c r="C21" s="15" t="inlineStr">
        <is>
          <t>V1.3.5</t>
        </is>
      </c>
      <c r="D21" s="16" t="inlineStr">
        <is>
          <t>Verify that the application sanitizes or disables user-supplied scriptable or expression template language content, such as Markdown, CSS or XSL stylesheets, BBCode, or similar.</t>
        </is>
      </c>
      <c r="E21" s="17" t="n">
        <v>2</v>
      </c>
      <c r="F21" s="18" t="inlineStr">
        <is>
          <t>Not Applicable</t>
        </is>
      </c>
      <c r="G21" s="16" t="inlineStr">
        <is>
          <t>Not applicable in the current system design.</t>
        </is>
      </c>
      <c r="H21" s="16" t="inlineStr">
        <is>
          <t>N/A – not in current system scope</t>
        </is>
      </c>
    </row>
    <row r="22" ht="75" customHeight="1" s="35">
      <c r="A22" s="19" t="inlineStr">
        <is>
          <t>V1.3</t>
        </is>
      </c>
      <c r="B22" s="19" t="inlineStr">
        <is>
          <t>Sanitization</t>
        </is>
      </c>
      <c r="C22" s="20" t="inlineStr">
        <is>
          <t>V1.3.6</t>
        </is>
      </c>
      <c r="D22" s="21"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17" t="n">
        <v>2</v>
      </c>
      <c r="F22" s="18" t="inlineStr">
        <is>
          <t>Not Applicable</t>
        </is>
      </c>
      <c r="G22" s="21" t="inlineStr">
        <is>
          <t>Backend SSRF surface is not present because the application does not make outbound HTTP requests from user input.</t>
        </is>
      </c>
      <c r="H22" s="21" t="inlineStr">
        <is>
          <t>N/A – no outbound HTTP requests from user input</t>
        </is>
      </c>
    </row>
    <row r="23" ht="75" customHeight="1" s="35">
      <c r="A23" s="14" t="inlineStr">
        <is>
          <t>V1.3</t>
        </is>
      </c>
      <c r="B23" s="14" t="inlineStr">
        <is>
          <t>Sanitization</t>
        </is>
      </c>
      <c r="C23" s="15" t="inlineStr">
        <is>
          <t>V1.3.7</t>
        </is>
      </c>
      <c r="D23" s="16"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17" t="n">
        <v>2</v>
      </c>
      <c r="F23" s="18" t="inlineStr">
        <is>
          <t>Not Applicable</t>
        </is>
      </c>
      <c r="G23" s="16" t="inlineStr">
        <is>
          <t>Server-side template rendering is not implemented, so template injection is not in scope.</t>
        </is>
      </c>
      <c r="H23" s="16" t="inlineStr">
        <is>
          <t>pom.xml; src/main/resources/static/*</t>
        </is>
      </c>
    </row>
    <row r="24" ht="60" customHeight="1" s="35">
      <c r="A24" s="19" t="inlineStr">
        <is>
          <t>V1.3</t>
        </is>
      </c>
      <c r="B24" s="19" t="inlineStr">
        <is>
          <t>Sanitization</t>
        </is>
      </c>
      <c r="C24" s="20" t="inlineStr">
        <is>
          <t>V1.3.8</t>
        </is>
      </c>
      <c r="D24" s="21" t="inlineStr">
        <is>
          <t>Verify that the application appropriately sanitizes untrusted input before use in Java Naming and Directory Interface (JNDI) queries and that JNDI is configured securely to prevent JNDI injection attacks.</t>
        </is>
      </c>
      <c r="E24" s="17" t="n">
        <v>2</v>
      </c>
      <c r="F24" s="18" t="inlineStr">
        <is>
          <t>Not Applicable</t>
        </is>
      </c>
      <c r="G24" s="21" t="inlineStr">
        <is>
          <t>Not applicable in the current system design.</t>
        </is>
      </c>
      <c r="H24" s="21" t="inlineStr">
        <is>
          <t>N/A – not in current system scope</t>
        </is>
      </c>
    </row>
    <row r="25" ht="30" customHeight="1" s="35">
      <c r="A25" s="14" t="inlineStr">
        <is>
          <t>V1.3</t>
        </is>
      </c>
      <c r="B25" s="14" t="inlineStr">
        <is>
          <t>Sanitization</t>
        </is>
      </c>
      <c r="C25" s="15" t="inlineStr">
        <is>
          <t>V1.3.9</t>
        </is>
      </c>
      <c r="D25" s="16" t="inlineStr">
        <is>
          <t>Verify that the application sanitizes content before it is sent to memcache to prevent injection attacks.</t>
        </is>
      </c>
      <c r="E25" s="17" t="n">
        <v>2</v>
      </c>
      <c r="F25" s="18" t="inlineStr">
        <is>
          <t>Not Applicable</t>
        </is>
      </c>
      <c r="G25" s="16" t="inlineStr">
        <is>
          <t>Not applicable in the current system design.</t>
        </is>
      </c>
      <c r="H25" s="16" t="inlineStr">
        <is>
          <t>N/A – not in current system scope</t>
        </is>
      </c>
    </row>
    <row r="26" ht="45" customHeight="1" s="35">
      <c r="A26" s="19" t="inlineStr">
        <is>
          <t>V1.3</t>
        </is>
      </c>
      <c r="B26" s="19" t="inlineStr">
        <is>
          <t>Sanitization</t>
        </is>
      </c>
      <c r="C26" s="20" t="inlineStr">
        <is>
          <t>V1.3.10</t>
        </is>
      </c>
      <c r="D26" s="21" t="inlineStr">
        <is>
          <t>Verify that format strings which might resolve in an unexpected or malicious way when used are sanitized before being processed.</t>
        </is>
      </c>
      <c r="E26" s="17" t="n">
        <v>2</v>
      </c>
      <c r="F26" s="18" t="inlineStr">
        <is>
          <t>Compliant</t>
        </is>
      </c>
      <c r="G26" s="21" t="inlineStr">
        <is>
          <t>Format strings are fixed in code; user-controlled data is not used as the format template.</t>
        </is>
      </c>
      <c r="H26" s="21" t="inlineStr">
        <is>
          <t>FileStorageService.java; CasePackageService.java; tests using fixed .formatted() payloads</t>
        </is>
      </c>
    </row>
    <row r="27" ht="30" customHeight="1" s="35">
      <c r="A27" s="14" t="inlineStr">
        <is>
          <t>V1.3</t>
        </is>
      </c>
      <c r="B27" s="14" t="inlineStr">
        <is>
          <t>Sanitization</t>
        </is>
      </c>
      <c r="C27" s="15" t="inlineStr">
        <is>
          <t>V1.3.11</t>
        </is>
      </c>
      <c r="D27" s="16" t="inlineStr">
        <is>
          <t>Verify that the application sanitizes user input before passing to mail systems to protect against SMTP or IMAP injection.</t>
        </is>
      </c>
      <c r="E27" s="17" t="n">
        <v>2</v>
      </c>
      <c r="F27" s="18" t="inlineStr">
        <is>
          <t>Not Applicable</t>
        </is>
      </c>
      <c r="G27" s="16" t="inlineStr">
        <is>
          <t>Not applicable in the current system design.</t>
        </is>
      </c>
      <c r="H27" s="16" t="inlineStr">
        <is>
          <t>N/A – not in current system scope</t>
        </is>
      </c>
    </row>
    <row r="28" ht="60" customHeight="1" s="35">
      <c r="A28" s="19" t="inlineStr">
        <is>
          <t>V1.3</t>
        </is>
      </c>
      <c r="B28" s="19" t="inlineStr">
        <is>
          <t>Sanitization</t>
        </is>
      </c>
      <c r="C28" s="20" t="inlineStr">
        <is>
          <t>V1.3.12</t>
        </is>
      </c>
      <c r="D28" s="21" t="inlineStr">
        <is>
          <t>Verify that regular expressions are free from elements causing exponential backtracking, and ensure untrusted input is sanitized to mitigate ReDoS or Runaway Regex attacks.</t>
        </is>
      </c>
      <c r="E28" s="23" t="n">
        <v>3</v>
      </c>
      <c r="F28" s="18" t="inlineStr">
        <is>
          <t>Compliant</t>
        </is>
      </c>
      <c r="G28" s="21" t="inlineStr">
        <is>
          <t>Existing regex use is fixed and not dynamically built from user input; no ReDoS-prone patterns were found.</t>
        </is>
      </c>
      <c r="H28" s="21" t="inlineStr">
        <is>
          <t>TrackingCode.java; BackupService.java; CreateUserRequest.java</t>
        </is>
      </c>
    </row>
    <row r="29" ht="18" customHeight="1" s="35">
      <c r="A29" s="13" t="inlineStr">
        <is>
          <t>V1.4</t>
        </is>
      </c>
      <c r="B29" s="13" t="inlineStr">
        <is>
          <t>Memory, String, and Unmanaged Code</t>
        </is>
      </c>
      <c r="C29" s="13" t="n"/>
      <c r="D29" s="13" t="n"/>
      <c r="E29" s="13" t="n"/>
      <c r="F29" s="13" t="n"/>
      <c r="G29" s="13" t="n"/>
      <c r="H29" s="13" t="n"/>
    </row>
    <row r="30" ht="30" customHeight="1" s="35">
      <c r="A30" s="14" t="inlineStr">
        <is>
          <t>V1.4</t>
        </is>
      </c>
      <c r="B30" s="14" t="inlineStr">
        <is>
          <t>Memory, String, and Unmanaged Code</t>
        </is>
      </c>
      <c r="C30" s="15" t="inlineStr">
        <is>
          <t>V1.4.1</t>
        </is>
      </c>
      <c r="D30" s="16" t="inlineStr">
        <is>
          <t>Verify that the application uses memory-safe string, safer memory copy and pointer arithmetic to detect or prevent stack, buffer, or heap overflows.</t>
        </is>
      </c>
      <c r="E30" s="17" t="n">
        <v>2</v>
      </c>
      <c r="F30" s="18" t="inlineStr">
        <is>
          <t>Not Applicable</t>
        </is>
      </c>
      <c r="G30" s="16" t="inlineStr">
        <is>
          <t>Not applicable in the current system design.</t>
        </is>
      </c>
      <c r="H30" s="16" t="inlineStr">
        <is>
          <t>N/A – not in current system scope</t>
        </is>
      </c>
    </row>
    <row r="31" ht="30" customHeight="1" s="35">
      <c r="A31" s="19" t="inlineStr">
        <is>
          <t>V1.4</t>
        </is>
      </c>
      <c r="B31" s="19" t="inlineStr">
        <is>
          <t>Memory, String, and Unmanaged Code</t>
        </is>
      </c>
      <c r="C31" s="20" t="inlineStr">
        <is>
          <t>V1.4.2</t>
        </is>
      </c>
      <c r="D31" s="21" t="inlineStr">
        <is>
          <t>Verify that sign, range, and input validation techniques are used to prevent integer overflows.</t>
        </is>
      </c>
      <c r="E31" s="17" t="n">
        <v>2</v>
      </c>
      <c r="F31" s="18" t="inlineStr">
        <is>
          <t>Not Applicable</t>
        </is>
      </c>
      <c r="G31" s="21" t="inlineStr">
        <is>
          <t>Not applicable in the current system design.</t>
        </is>
      </c>
      <c r="H31" s="21" t="inlineStr">
        <is>
          <t>N/A – not in current system scope</t>
        </is>
      </c>
    </row>
    <row r="32" ht="30" customHeight="1" s="35">
      <c r="A32" s="14" t="inlineStr">
        <is>
          <t>V1.4</t>
        </is>
      </c>
      <c r="B32" s="14" t="inlineStr">
        <is>
          <t>Memory, String, and Unmanaged Code</t>
        </is>
      </c>
      <c r="C32" s="15" t="inlineStr">
        <is>
          <t>V1.4.3</t>
        </is>
      </c>
      <c r="D32" s="16" t="inlineStr">
        <is>
          <t>Verify that dynamically allocated memory and resources are released, and that references or pointers to freed memory are removed or set to null to prevent dangling pointers and use-after-free vulnerabilities.</t>
        </is>
      </c>
      <c r="E32" s="17" t="n">
        <v>2</v>
      </c>
      <c r="F32" s="18" t="inlineStr">
        <is>
          <t>Not Applicable</t>
        </is>
      </c>
      <c r="G32" s="16" t="inlineStr">
        <is>
          <t>Not applicable in the current system design.</t>
        </is>
      </c>
      <c r="H32" s="16" t="inlineStr">
        <is>
          <t>N/A – not in current system scope</t>
        </is>
      </c>
    </row>
    <row r="33" ht="18" customHeight="1" s="35">
      <c r="A33" s="13" t="inlineStr">
        <is>
          <t>V1.5</t>
        </is>
      </c>
      <c r="B33" s="13" t="inlineStr">
        <is>
          <t>Safe Deserialization</t>
        </is>
      </c>
      <c r="C33" s="13" t="n"/>
      <c r="D33" s="13" t="n"/>
      <c r="E33" s="13" t="n"/>
      <c r="F33" s="13" t="n"/>
      <c r="G33" s="13" t="n"/>
      <c r="H33" s="13" t="n"/>
    </row>
    <row r="34" ht="60" customHeight="1" s="35">
      <c r="A34" s="14" t="inlineStr">
        <is>
          <t>V1.5</t>
        </is>
      </c>
      <c r="B34" s="14" t="inlineStr">
        <is>
          <t>Safe Deserialization</t>
        </is>
      </c>
      <c r="C34" s="15" t="inlineStr">
        <is>
          <t>V1.5.1</t>
        </is>
      </c>
      <c r="D34" s="16" t="inlineStr">
        <is>
          <t>Verify that the application configures XML parsers to use a restrictive configuration and that unsafe features such as resolving external entities are disabled to prevent XML eXternal Entity (XXE) attacks.</t>
        </is>
      </c>
      <c r="E34" s="22" t="n">
        <v>1</v>
      </c>
      <c r="F34" s="18" t="inlineStr">
        <is>
          <t>Not Applicable</t>
        </is>
      </c>
      <c r="G34" s="16" t="inlineStr">
        <is>
          <t>XML parsing is not implemented, so XXE parser configuration is outside current scope.</t>
        </is>
      </c>
      <c r="H34" s="16" t="inlineStr">
        <is>
          <t>N/A – no XML parser/input processing in current Sprint 1 scope</t>
        </is>
      </c>
    </row>
    <row r="35" ht="75" customHeight="1" s="35">
      <c r="A35" s="19" t="inlineStr">
        <is>
          <t>V1.5</t>
        </is>
      </c>
      <c r="B35" s="19" t="inlineStr">
        <is>
          <t>Safe Deserialization</t>
        </is>
      </c>
      <c r="C35" s="20" t="inlineStr">
        <is>
          <t>V1.5.2</t>
        </is>
      </c>
      <c r="D35" s="21"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17" t="n">
        <v>2</v>
      </c>
      <c r="F35" s="18" t="inlineStr">
        <is>
          <t>Compliant</t>
        </is>
      </c>
      <c r="G35" s="41" t="inlineStr">
        <is>
          <t>JSON input is handled through typed DTOs/controllers rather than arbitrary object deserialization.</t>
        </is>
      </c>
      <c r="H35" s="41" t="inlineStr">
        <is>
          <t>DTO classes; controllers; SECURITY_TESTING.md</t>
        </is>
      </c>
    </row>
    <row r="36" ht="105" customHeight="1" s="35">
      <c r="A36" s="14" t="inlineStr">
        <is>
          <t>V1.5</t>
        </is>
      </c>
      <c r="B36" s="14" t="inlineStr">
        <is>
          <t>Safe Deserialization</t>
        </is>
      </c>
      <c r="C36" s="15" t="inlineStr">
        <is>
          <t>V1.5.3</t>
        </is>
      </c>
      <c r="D36" s="16"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23" t="n">
        <v>3</v>
      </c>
      <c r="F36" s="18" t="inlineStr">
        <is>
          <t>In Progress</t>
        </is>
      </c>
      <c r="G36" s="16" t="inlineStr">
        <is>
          <t>Parser and encoding consistency is partial; standard parsers are used, but manual JSON and raw URL construction remain.</t>
        </is>
      </c>
      <c r="H36" s="16" t="inlineStr">
        <is>
          <t>CasePackageService.java; JwtService.java; submit.html; track.html; AdminBackupController.java</t>
        </is>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6"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18"/>
  <sheetViews>
    <sheetView zoomScale="80" zoomScaleNormal="80" workbookViewId="0">
      <selection activeCell="G24" sqref="G24"/>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V2.1</t>
        </is>
      </c>
      <c r="B2" s="13" t="inlineStr">
        <is>
          <t>Validation and Business Logic Documentation</t>
        </is>
      </c>
      <c r="C2" s="13" t="n"/>
      <c r="D2" s="13" t="n"/>
      <c r="E2" s="13" t="n"/>
      <c r="F2" s="13" t="n"/>
      <c r="G2" s="13" t="n"/>
      <c r="H2" s="13" t="n"/>
    </row>
    <row r="3" ht="75" customHeight="1" s="35">
      <c r="A3" s="14" t="inlineStr">
        <is>
          <t>V2.1</t>
        </is>
      </c>
      <c r="B3" s="14" t="inlineStr">
        <is>
          <t>Validation and Business Logic Documentation</t>
        </is>
      </c>
      <c r="C3" s="15" t="inlineStr">
        <is>
          <t>V2.1.1</t>
        </is>
      </c>
      <c r="D3" s="16"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22" t="n">
        <v>1</v>
      </c>
      <c r="F3" s="18" t="inlineStr">
        <is>
          <t>Compliant</t>
        </is>
      </c>
      <c r="G3" s="40" t="inlineStr">
        <is>
          <t>Sprint 2 documents input rules for reports, tracking, authentication, users, uploads, backups and protected role flows.</t>
        </is>
      </c>
      <c r="H3" s="40" t="inlineStr">
        <is>
          <t>SECURITY_TESTING.md; SECURE_INSTALLATION.md; PHASE2_SPRINT2_REPORT.md</t>
        </is>
      </c>
    </row>
    <row r="4" ht="90.75" customHeight="1" s="35">
      <c r="A4" s="19" t="inlineStr">
        <is>
          <t>V2.1</t>
        </is>
      </c>
      <c r="B4" s="19" t="inlineStr">
        <is>
          <t>Validation and Business Logic Documentation</t>
        </is>
      </c>
      <c r="C4" s="20" t="inlineStr">
        <is>
          <t>V2.1.2</t>
        </is>
      </c>
      <c r="D4" s="21" t="inlineStr">
        <is>
          <t>Verify that the application's documentation defines how to validate the logical and contextual consistency of combined data items, such as checking that suburb and ZIP code match.</t>
        </is>
      </c>
      <c r="E4" s="17" t="n">
        <v>2</v>
      </c>
      <c r="F4" s="18" t="inlineStr">
        <is>
          <t>Compliant</t>
        </is>
      </c>
      <c r="G4" s="41" t="inlineStr">
        <is>
          <t>Business-context validation is documented for report creation/verification, analyst actions, admin users, backups and audit flows.</t>
        </is>
      </c>
      <c r="H4" s="41" t="inlineStr">
        <is>
          <t>PHASE2_SPRINT2_REPORT.md; AUTHORIZATION_MATRIX.md</t>
        </is>
      </c>
    </row>
    <row r="5" ht="60" customHeight="1" s="35">
      <c r="A5" s="14" t="inlineStr">
        <is>
          <t>V2.1</t>
        </is>
      </c>
      <c r="B5" s="14" t="inlineStr">
        <is>
          <t>Validation and Business Logic Documentation</t>
        </is>
      </c>
      <c r="C5" s="15" t="inlineStr">
        <is>
          <t>V2.1.3</t>
        </is>
      </c>
      <c r="D5" s="16" t="inlineStr">
        <is>
          <t>Verify that expectations for business logic limits and validations are documented, including both per-user and globally across the application.</t>
        </is>
      </c>
      <c r="E5" s="17" t="n">
        <v>2</v>
      </c>
      <c r="F5" s="18" t="inlineStr">
        <is>
          <t>Compliant</t>
        </is>
      </c>
      <c r="G5" s="40" t="inlineStr">
        <is>
          <t>Business limits are documented/configured for report creation, tracking verification, upload, download, login/MFA, file counts/sizes and resource pools.</t>
        </is>
      </c>
      <c r="H5" s="40" t="inlineStr">
        <is>
          <t>application.yaml; RateLimitProperties.java; SECURE_INSTALLATION.md; SECURITY_TESTING.md</t>
        </is>
      </c>
    </row>
    <row r="6" ht="18" customHeight="1" s="35">
      <c r="A6" s="13" t="inlineStr">
        <is>
          <t>V2.2</t>
        </is>
      </c>
      <c r="B6" s="13" t="inlineStr">
        <is>
          <t>Input Validation</t>
        </is>
      </c>
      <c r="C6" s="13" t="n"/>
      <c r="D6" s="13" t="n"/>
      <c r="E6" s="13" t="n"/>
      <c r="F6" s="13" t="n"/>
      <c r="G6" s="13" t="n"/>
      <c r="H6" s="13" t="n"/>
    </row>
    <row r="7" ht="105" customHeight="1" s="35">
      <c r="A7" s="14" t="inlineStr">
        <is>
          <t>V2.2</t>
        </is>
      </c>
      <c r="B7" s="14" t="inlineStr">
        <is>
          <t>Input Validation</t>
        </is>
      </c>
      <c r="C7" s="15" t="inlineStr">
        <is>
          <t>V2.2.1</t>
        </is>
      </c>
      <c r="D7" s="16"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22" t="n">
        <v>1</v>
      </c>
      <c r="F7" s="18" t="inlineStr">
        <is>
          <t>Compliant</t>
        </is>
      </c>
      <c r="G7" s="40" t="inlineStr">
        <is>
          <t>Bean Validation, DTO constraints and service-layer checks are covered by unit/integration tests and runtime probes.</t>
        </is>
      </c>
      <c r="H7" s="40" t="inlineStr">
        <is>
          <t>mvn test 250/0/0/0; DTOs; services; SECURITY_TESTING.md</t>
        </is>
      </c>
    </row>
    <row r="8" ht="60" customHeight="1" s="35">
      <c r="A8" s="19" t="inlineStr">
        <is>
          <t>V2.2</t>
        </is>
      </c>
      <c r="B8" s="19" t="inlineStr">
        <is>
          <t>Input Validation</t>
        </is>
      </c>
      <c r="C8" s="20" t="inlineStr">
        <is>
          <t>V2.2.2</t>
        </is>
      </c>
      <c r="D8" s="21" t="inlineStr">
        <is>
          <t>Verify that the application is designed to enforce input validation at a trusted service layer. While client-side validation improves usability and should be encouraged, it must not be relied upon as a security control.</t>
        </is>
      </c>
      <c r="E8" s="22" t="n">
        <v>1</v>
      </c>
      <c r="F8" s="18" t="inlineStr">
        <is>
          <t>Compliant</t>
        </is>
      </c>
      <c r="G8" s="21" t="inlineStr">
        <is>
          <t>Validation is enforced in controllers and services using @Valid, domain validation, service-level business checks, and repository/model constraints, not only in static frontend JavaScript.</t>
        </is>
      </c>
      <c r="H8" s="21" t="inlineStr">
        <is>
          <t>ReportController.java; AdminController.java; ReportService.java; CaseReviewService.java; FileStorageService.java; PublicReportFlowIntegrationTest; ReportControllerAttachmentUploadTest</t>
        </is>
      </c>
    </row>
    <row r="9" ht="90" customHeight="1" s="35">
      <c r="A9" s="14" t="inlineStr">
        <is>
          <t>V2.2</t>
        </is>
      </c>
      <c r="B9" s="14" t="inlineStr">
        <is>
          <t>Input Validation</t>
        </is>
      </c>
      <c r="C9" s="15" t="inlineStr">
        <is>
          <t>V2.2.3</t>
        </is>
      </c>
      <c r="D9" s="16" t="inlineStr">
        <is>
          <t>Verify that the application ensures that combinations of related data items are reasonable according to the pre-defined rules.</t>
        </is>
      </c>
      <c r="E9" s="17" t="n">
        <v>2</v>
      </c>
      <c r="F9" s="18" t="inlineStr">
        <is>
          <t>Compliant</t>
        </is>
      </c>
      <c r="G9" s="40" t="inlineStr">
        <is>
          <t>Tracking code verification, role flows, status/priority validation, attachment access and backup filename validation are exercised.</t>
        </is>
      </c>
      <c r="H9" s="40" t="inlineStr">
        <is>
          <t>runtime-endpoints.md; SECURITY_TESTING.md</t>
        </is>
      </c>
    </row>
    <row r="10" ht="18" customHeight="1" s="35">
      <c r="A10" s="13" t="inlineStr">
        <is>
          <t>V2.3</t>
        </is>
      </c>
      <c r="B10" s="13" t="inlineStr">
        <is>
          <t>Business Logic Security</t>
        </is>
      </c>
      <c r="C10" s="13" t="n"/>
      <c r="D10" s="13" t="n"/>
      <c r="E10" s="13" t="n"/>
      <c r="F10" s="13" t="n"/>
      <c r="G10" s="13" t="n"/>
      <c r="H10" s="13" t="n"/>
    </row>
    <row r="11" ht="105" customHeight="1" s="35">
      <c r="A11" s="14" t="inlineStr">
        <is>
          <t>V2.3</t>
        </is>
      </c>
      <c r="B11" s="14" t="inlineStr">
        <is>
          <t>Business Logic Security</t>
        </is>
      </c>
      <c r="C11" s="15" t="inlineStr">
        <is>
          <t>V2.3.1</t>
        </is>
      </c>
      <c r="D11" s="16" t="inlineStr">
        <is>
          <t>Verify that the application will only process business logic flows for the same user in the expected sequential step order and without skipping steps.</t>
        </is>
      </c>
      <c r="E11" s="22" t="n">
        <v>1</v>
      </c>
      <c r="F11" s="18" t="inlineStr">
        <is>
          <t>Compliant</t>
        </is>
      </c>
      <c r="G11" s="40" t="inlineStr">
        <is>
          <t>Authentication/MFA, report tracking and role-protected workflows enforce expected order and state transitions.</t>
        </is>
      </c>
      <c r="H11" s="40" t="inlineStr">
        <is>
          <t>AuthController.java; MfaService.java; runtime-endpoints.md</t>
        </is>
      </c>
    </row>
    <row r="12" ht="105" customHeight="1" s="35">
      <c r="A12" s="19" t="inlineStr">
        <is>
          <t>V2.3</t>
        </is>
      </c>
      <c r="B12" s="19" t="inlineStr">
        <is>
          <t>Business Logic Security</t>
        </is>
      </c>
      <c r="C12" s="20" t="inlineStr">
        <is>
          <t>V2.3.2</t>
        </is>
      </c>
      <c r="D12" s="21" t="inlineStr">
        <is>
          <t>Verify that business logic limits are implemented per the application's documentation to avoid business logic flaws being exploited.</t>
        </is>
      </c>
      <c r="E12" s="17" t="n">
        <v>2</v>
      </c>
      <c r="F12" s="18" t="inlineStr">
        <is>
          <t>Compliant</t>
        </is>
      </c>
      <c r="G12" s="21" t="inlineStr">
        <is>
          <t>Business limits are implemented for public report submission, tracking, uploads/downloads, login attempts, MFA attempts, file count/size/type and closed-case workflow.</t>
        </is>
      </c>
      <c r="H12" s="21" t="inlineStr">
        <is>
          <t>RateLimiterService.java; ReportController.java; MfaChallengeService.java; FileStorageService.java; BusinessLogicWorkflowSecurityTest</t>
        </is>
      </c>
    </row>
    <row r="13" ht="75" customHeight="1" s="35">
      <c r="A13" s="14" t="inlineStr">
        <is>
          <t>V2.3</t>
        </is>
      </c>
      <c r="B13" s="14" t="inlineStr">
        <is>
          <t>Business Logic Security</t>
        </is>
      </c>
      <c r="C13" s="15" t="inlineStr">
        <is>
          <t>V2.3.3</t>
        </is>
      </c>
      <c r="D13" s="16" t="inlineStr">
        <is>
          <t>Verify that transactions are being used at the business logic level such that either a business logic operation succeeds in its entirety or it is rolled back to the previous correct state.</t>
        </is>
      </c>
      <c r="E13" s="17" t="n">
        <v>2</v>
      </c>
      <c r="F13" s="18" t="inlineStr">
        <is>
          <t>Compliant</t>
        </is>
      </c>
      <c r="G13" s="40" t="inlineStr">
        <is>
          <t>Critical service operations use Spring service boundaries/transactions where applicable and are covered by tests.</t>
        </is>
      </c>
      <c r="H13" s="40" t="inlineStr">
        <is>
          <t>services; repositories; mvn test</t>
        </is>
      </c>
    </row>
    <row r="14" ht="60" customHeight="1" s="35">
      <c r="A14" s="19" t="inlineStr">
        <is>
          <t>V2.3</t>
        </is>
      </c>
      <c r="B14" s="19" t="inlineStr">
        <is>
          <t>Business Logic Security</t>
        </is>
      </c>
      <c r="C14" s="20" t="inlineStr">
        <is>
          <t>V2.3.4</t>
        </is>
      </c>
      <c r="D14" s="21" t="inlineStr">
        <is>
          <t>Verify that business logic level locking mechanisms are used to ensure that limited quantity resources (such as theater seats or delivery slots) cannot be double-booked by manipulating the application's logic.</t>
        </is>
      </c>
      <c r="E14" s="17" t="n">
        <v>2</v>
      </c>
      <c r="F14" s="18" t="inlineStr">
        <is>
          <t>Not Applicable</t>
        </is>
      </c>
      <c r="G14" s="21" t="inlineStr">
        <is>
          <t>Not applicable because GhostReport has no limited-quantity inventory such as seats, stock, bookings or quota allocation that can be reserved concurrently.</t>
        </is>
      </c>
      <c r="H14" s="21" t="inlineStr">
        <is>
          <t>Architecture scope; ReportService.java</t>
        </is>
      </c>
    </row>
    <row r="15" ht="90" customHeight="1" s="35">
      <c r="A15" s="14" t="inlineStr">
        <is>
          <t>V2.3</t>
        </is>
      </c>
      <c r="B15" s="14" t="inlineStr">
        <is>
          <t>Business Logic Security</t>
        </is>
      </c>
      <c r="C15" s="15" t="inlineStr">
        <is>
          <t>V2.3.5</t>
        </is>
      </c>
      <c r="D15" s="16"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23" t="n">
        <v>3</v>
      </c>
      <c r="F15" s="18" t="inlineStr">
        <is>
          <t>Not Started</t>
        </is>
      </c>
      <c r="G15" s="16" t="inlineStr">
        <is>
          <t>High-impact flows such as admin user creation, backup creation/download/restore, and evidence package generation are controlled by RBAC but have no multi-user approval workflow.</t>
        </is>
      </c>
      <c r="H15" s="16" t="inlineStr">
        <is>
          <t>AdminController.java; AdminBackupController.java; CasePackageService.java; SecurityConfig.java; AdminBackupControllerSecurityTest; AuditorAuthorizationTest</t>
        </is>
      </c>
    </row>
    <row r="16" ht="18" customHeight="1" s="35">
      <c r="A16" s="13" t="inlineStr">
        <is>
          <t>V2.4</t>
        </is>
      </c>
      <c r="B16" s="13" t="inlineStr">
        <is>
          <t>Anti-automation</t>
        </is>
      </c>
      <c r="C16" s="13" t="n"/>
      <c r="D16" s="13" t="n"/>
      <c r="E16" s="13" t="n"/>
      <c r="F16" s="13" t="n"/>
      <c r="G16" s="13" t="n"/>
      <c r="H16" s="13" t="n"/>
    </row>
    <row r="17" ht="60" customHeight="1" s="35">
      <c r="A17" s="14" t="inlineStr">
        <is>
          <t>V2.4</t>
        </is>
      </c>
      <c r="B17" s="14" t="inlineStr">
        <is>
          <t>Anti-automation</t>
        </is>
      </c>
      <c r="C17" s="15" t="inlineStr">
        <is>
          <t>V2.4.1</t>
        </is>
      </c>
      <c r="D17" s="16"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17" t="n">
        <v>2</v>
      </c>
      <c r="F17" s="18" t="inlineStr">
        <is>
          <t>Compliant</t>
        </is>
      </c>
      <c r="G17" s="40" t="inlineStr">
        <is>
          <t>Anti-automation controls cover public report submission, tracking-code verification, upload/download and login brute-force paths; distributed rate limiting remains a production hardening item.</t>
        </is>
      </c>
      <c r="H17" s="40" t="inlineStr">
        <is>
          <t>RateLimiterService.java; ReportController.java; LoginRateLimitSecurityTest; RateLimiterServiceTest</t>
        </is>
      </c>
    </row>
    <row r="18" ht="45" customHeight="1" s="35">
      <c r="A18" s="19" t="inlineStr">
        <is>
          <t>V2.4</t>
        </is>
      </c>
      <c r="B18" s="19" t="inlineStr">
        <is>
          <t>Anti-automation</t>
        </is>
      </c>
      <c r="C18" s="20" t="inlineStr">
        <is>
          <t>V2.4.2</t>
        </is>
      </c>
      <c r="D18" s="21" t="inlineStr">
        <is>
          <t>Verify that business logic flows require realistic human timing, preventing excessively rapid transaction submissions.</t>
        </is>
      </c>
      <c r="E18" s="23" t="n">
        <v>3</v>
      </c>
      <c r="F18" s="18" t="inlineStr">
        <is>
          <t>In Progress</t>
        </is>
      </c>
      <c r="G18" s="21" t="inlineStr">
        <is>
          <t>Rate limiting provides partial rapid-call throttling for selected public endpoints, but there is no CAPTCHA-equivalent, realistic human timing control, or rapid repeated report submission protection.</t>
        </is>
      </c>
      <c r="H18" s="21" t="inlineStr">
        <is>
          <t>RateLimiterService.java; ReportController.java; RateLimiterServiceTest; No implementation evidence found for CAPTCHA or human-timing controls</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5.xml><?xml version="1.0" encoding="utf-8"?>
<worksheet xmlns="http://schemas.openxmlformats.org/spreadsheetml/2006/main">
  <sheetPr>
    <tabColor rgb="FFFFFF00"/>
    <outlinePr summaryBelow="1" summaryRight="1"/>
    <pageSetUpPr/>
  </sheetPr>
  <dimension ref="A1:T39"/>
  <sheetViews>
    <sheetView topLeftCell="A24" zoomScale="80" zoomScaleNormal="80" workbookViewId="0">
      <selection activeCell="H39" sqref="H39"/>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V3.1</t>
        </is>
      </c>
      <c r="B2" s="13" t="inlineStr">
        <is>
          <t>Web Frontend Security Documentation</t>
        </is>
      </c>
      <c r="C2" s="13" t="n"/>
      <c r="D2" s="13" t="n"/>
      <c r="E2" s="13" t="n"/>
      <c r="F2" s="13" t="n"/>
      <c r="G2" s="13" t="n"/>
      <c r="H2" s="13" t="n"/>
    </row>
    <row r="3" ht="105" customHeight="1" s="35">
      <c r="A3" s="14" t="inlineStr">
        <is>
          <t>V3.1</t>
        </is>
      </c>
      <c r="B3" s="14" t="inlineStr">
        <is>
          <t>Web Frontend Security Documentation</t>
        </is>
      </c>
      <c r="C3" s="15" t="inlineStr">
        <is>
          <t>V3.1.1</t>
        </is>
      </c>
      <c r="D3" s="16"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23" t="n">
        <v>3</v>
      </c>
      <c r="F3" s="18" t="inlineStr">
        <is>
          <t>In Progress</t>
        </is>
      </c>
      <c r="G3" s="16" t="inlineStr">
        <is>
          <t>Documentation mentions HTTPS/TLS, and Spring Security config implements some browser headers, but expected browser security features and fallback behavior are not fully documented.</t>
        </is>
      </c>
      <c r="H3" s="16" t="inlineStr">
        <is>
          <t>README.md; SecurityConfig.java; SecurityHeadersTest</t>
        </is>
      </c>
    </row>
    <row r="4" ht="18" customHeight="1" s="35">
      <c r="A4" s="13" t="inlineStr">
        <is>
          <t>V3.2</t>
        </is>
      </c>
      <c r="B4" s="13" t="inlineStr">
        <is>
          <t>Unintended Content Interpretation</t>
        </is>
      </c>
      <c r="C4" s="13" t="n"/>
      <c r="D4" s="13" t="n"/>
      <c r="E4" s="13" t="n"/>
      <c r="F4" s="13" t="n"/>
      <c r="G4" s="13" t="n"/>
      <c r="H4" s="13" t="n"/>
    </row>
    <row r="5" ht="135" customHeight="1" s="35">
      <c r="A5" s="14" t="inlineStr">
        <is>
          <t>V3.2</t>
        </is>
      </c>
      <c r="B5" s="14" t="inlineStr">
        <is>
          <t>Unintended Content Interpretation</t>
        </is>
      </c>
      <c r="C5" s="15" t="inlineStr">
        <is>
          <t>V3.2.1</t>
        </is>
      </c>
      <c r="D5" s="16"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22" t="n">
        <v>1</v>
      </c>
      <c r="F5" s="18" t="inlineStr">
        <is>
          <t>Compliant</t>
        </is>
      </c>
      <c r="G5" s="40" t="inlineStr">
        <is>
          <t>Security headers are configured and checked by runtime probes across public and protected pages.</t>
        </is>
      </c>
      <c r="H5" s="40" t="inlineStr">
        <is>
          <t>SecurityConfig.java; runtime-endpoints.md</t>
        </is>
      </c>
    </row>
    <row r="6" ht="30" customHeight="1" s="35">
      <c r="A6" s="19" t="inlineStr">
        <is>
          <t>V3.2</t>
        </is>
      </c>
      <c r="B6" s="19" t="inlineStr">
        <is>
          <t>Unintended Content Interpretation</t>
        </is>
      </c>
      <c r="C6" s="20" t="inlineStr">
        <is>
          <t>V3.2.2</t>
        </is>
      </c>
      <c r="D6" s="21" t="inlineStr">
        <is>
          <t>Verify that content intended to be displayed as text, rather than rendered as HTML, is handled using safe rendering functions (such as createTextNode or textContent) to prevent unintended execution of content such as HTML or JavaScript.</t>
        </is>
      </c>
      <c r="E6" s="22" t="n">
        <v>1</v>
      </c>
      <c r="F6" s="18" t="inlineStr">
        <is>
          <t>Compliant</t>
        </is>
      </c>
      <c r="G6" s="21" t="inlineStr">
        <is>
          <t>Frontend API/user-controlled values are rendered through textContent/createTextNode helpers; tests reject innerHTML, outerHTML, insertAdjacentHTML and document.write.</t>
        </is>
      </c>
      <c r="H6" s="21" t="inlineStr">
        <is>
          <t>src/main/resources/static/js/dom.js; FrontendXssDataExposureTest</t>
        </is>
      </c>
    </row>
    <row r="7" ht="30" customHeight="1" s="35">
      <c r="A7" s="14" t="inlineStr">
        <is>
          <t>V3.2</t>
        </is>
      </c>
      <c r="B7" s="14" t="inlineStr">
        <is>
          <t>Unintended Content Interpretation</t>
        </is>
      </c>
      <c r="C7" s="15" t="inlineStr">
        <is>
          <t>V3.2.3</t>
        </is>
      </c>
      <c r="D7" s="16"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23" t="n">
        <v>3</v>
      </c>
      <c r="F7" s="18" t="inlineStr">
        <is>
          <t>In Progress</t>
        </is>
      </c>
      <c r="G7" s="16" t="inlineStr">
        <is>
          <t>Frontend code uses explicit declarations and a dedicated GhostReportDom namespace for rendering helpers, but legacy page scripts still expose some top-level functions, so DOM clobbering hardening is partial.</t>
        </is>
      </c>
      <c r="H7" s="16" t="inlineStr">
        <is>
          <t>src/main/resources/static/js/dom.js; src/main/resources/static/js/*.js</t>
        </is>
      </c>
    </row>
    <row r="8" ht="18" customHeight="1" s="35">
      <c r="A8" s="13" t="inlineStr">
        <is>
          <t>V3.3</t>
        </is>
      </c>
      <c r="B8" s="13" t="inlineStr">
        <is>
          <t>Cookie Setup</t>
        </is>
      </c>
      <c r="C8" s="13" t="n"/>
      <c r="D8" s="13" t="n"/>
      <c r="E8" s="13" t="n"/>
      <c r="F8" s="13" t="n"/>
      <c r="G8" s="13" t="n"/>
      <c r="H8" s="13" t="n"/>
    </row>
    <row r="9" ht="45" customHeight="1" s="35">
      <c r="A9" s="14" t="inlineStr">
        <is>
          <t>V3.3</t>
        </is>
      </c>
      <c r="B9" s="14" t="inlineStr">
        <is>
          <t>Cookie Setup</t>
        </is>
      </c>
      <c r="C9" s="15" t="inlineStr">
        <is>
          <t>V3.3.1</t>
        </is>
      </c>
      <c r="D9" s="16" t="inlineStr">
        <is>
          <t>Verify that cookies have the 'Secure' attribute set, and if the '\__Host-' prefix is not used for the cookie name, the '__Secure-' prefix must be used for the cookie name.</t>
        </is>
      </c>
      <c r="E9" s="22" t="n">
        <v>1</v>
      </c>
      <c r="F9" s="18" t="inlineStr">
        <is>
          <t>Not Applicable</t>
        </is>
      </c>
      <c r="G9" s="16" t="inlineStr">
        <is>
          <t>The application uses JWT Bearer tokens in web storage and stateless security, not authentication/session cookies requiring Secure or cookie prefixes.</t>
        </is>
      </c>
      <c r="H9" s="16" t="inlineStr">
        <is>
          <t>SecurityConfig.java; AuthService.java; js/api.js; admin.html; analyst.html; auditor.html</t>
        </is>
      </c>
    </row>
    <row r="10" ht="60" customHeight="1" s="35">
      <c r="A10" s="19" t="inlineStr">
        <is>
          <t>V3.3</t>
        </is>
      </c>
      <c r="B10" s="19" t="inlineStr">
        <is>
          <t>Cookie Setup</t>
        </is>
      </c>
      <c r="C10" s="20" t="inlineStr">
        <is>
          <t>V3.3.2</t>
        </is>
      </c>
      <c r="D10" s="21" t="inlineStr">
        <is>
          <t>Verify that each cookie's 'SameSite' attribute value is set according to the purpose of the cookie, to limit exposure to user interface redress attacks and browser-based request forgery attacks, commonly known as cross-site request forgery (CSRF).</t>
        </is>
      </c>
      <c r="E10" s="17" t="n">
        <v>2</v>
      </c>
      <c r="F10" s="18" t="inlineStr">
        <is>
          <t>Not Applicable</t>
        </is>
      </c>
      <c r="G10" s="21" t="inlineStr">
        <is>
          <t>The application does not issue authentication/session cookies, so SameSite cookie configuration is not applicable to the current implementation.</t>
        </is>
      </c>
      <c r="H10" s="21" t="inlineStr">
        <is>
          <t>SecurityConfig.java; AuthService.java; static frontend token storage</t>
        </is>
      </c>
    </row>
    <row r="11" ht="45" customHeight="1" s="35">
      <c r="A11" s="14" t="inlineStr">
        <is>
          <t>V3.3</t>
        </is>
      </c>
      <c r="B11" s="14" t="inlineStr">
        <is>
          <t>Cookie Setup</t>
        </is>
      </c>
      <c r="C11" s="15" t="inlineStr">
        <is>
          <t>V3.3.3</t>
        </is>
      </c>
      <c r="D11" s="16" t="inlineStr">
        <is>
          <t>Verify that cookies have the '__Host-' prefix for the cookie name unless they are explicitly designed to be shared with other hosts.</t>
        </is>
      </c>
      <c r="E11" s="17" t="n">
        <v>2</v>
      </c>
      <c r="F11" s="18" t="inlineStr">
        <is>
          <t>Not Applicable</t>
        </is>
      </c>
      <c r="G11" s="16" t="inlineStr">
        <is>
          <t>The application does not issue host-scoped authentication/session cookies, so __Host- cookie prefix requirements are not applicable.</t>
        </is>
      </c>
      <c r="H11" s="16" t="inlineStr">
        <is>
          <t>SecurityConfig.java; AuthService.java</t>
        </is>
      </c>
    </row>
    <row r="12" ht="75" customHeight="1" s="35">
      <c r="A12" s="19" t="inlineStr">
        <is>
          <t>V3.3</t>
        </is>
      </c>
      <c r="B12" s="19" t="inlineStr">
        <is>
          <t>Cookie Setup</t>
        </is>
      </c>
      <c r="C12" s="20" t="inlineStr">
        <is>
          <t>V3.3.4</t>
        </is>
      </c>
      <c r="D12" s="21"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17" t="n">
        <v>2</v>
      </c>
      <c r="F12" s="18" t="inlineStr">
        <is>
          <t>Not Applicable</t>
        </is>
      </c>
      <c r="G12" s="21" t="inlineStr">
        <is>
          <t>Sensitive authentication state is not transferred by Set-Cookie; JWT Bearer tokens are handled by JSON responses and Authorization headers.</t>
        </is>
      </c>
      <c r="H12" s="21" t="inlineStr">
        <is>
          <t>AuthController.java; AuthService.java; SecurityConfig.java; static frontend files</t>
        </is>
      </c>
    </row>
    <row r="13" ht="75" customHeight="1" s="35">
      <c r="A13" s="14" t="inlineStr">
        <is>
          <t>V3.3</t>
        </is>
      </c>
      <c r="B13" s="14" t="inlineStr">
        <is>
          <t>Cookie Setup</t>
        </is>
      </c>
      <c r="C13" s="15" t="inlineStr">
        <is>
          <t>V3.3.5</t>
        </is>
      </c>
      <c r="D13" s="16"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23" t="n">
        <v>3</v>
      </c>
      <c r="F13" s="18" t="inlineStr">
        <is>
          <t>Not Applicable</t>
        </is>
      </c>
      <c r="G13" s="16" t="inlineStr">
        <is>
          <t>The application does not define application cookies, so cookie name/value length limits are not applicable in the current scope.</t>
        </is>
      </c>
      <c r="H13" s="16" t="inlineStr">
        <is>
          <t>N/A – no application authentication/session cookies</t>
        </is>
      </c>
    </row>
    <row r="14" ht="18" customHeight="1" s="35">
      <c r="A14" s="13" t="inlineStr">
        <is>
          <t>V3.4</t>
        </is>
      </c>
      <c r="B14" s="13" t="inlineStr">
        <is>
          <t>Browser Security Mechanism Headers</t>
        </is>
      </c>
      <c r="C14" s="13" t="n"/>
      <c r="D14" s="13" t="n"/>
      <c r="E14" s="13" t="n"/>
      <c r="F14" s="13" t="n"/>
      <c r="G14" s="13" t="n"/>
      <c r="H14" s="13" t="n"/>
    </row>
    <row r="15" ht="60" customHeight="1" s="35">
      <c r="A15" s="14" t="inlineStr">
        <is>
          <t>V3.4</t>
        </is>
      </c>
      <c r="B15" s="14" t="inlineStr">
        <is>
          <t>Browser Security Mechanism Headers</t>
        </is>
      </c>
      <c r="C15" s="15" t="inlineStr">
        <is>
          <t>V3.4.1</t>
        </is>
      </c>
      <c r="D15" s="16"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22" t="n">
        <v>1</v>
      </c>
      <c r="F15" s="18" t="inlineStr">
        <is>
          <t>Compliant</t>
        </is>
      </c>
      <c r="G15" s="16" t="inlineStr">
        <is>
          <t>Spring Security config sets HSTS max-age 1 year, includeSubDomains and preload for HTTPS responses.</t>
        </is>
      </c>
      <c r="H15" s="16" t="inlineStr">
        <is>
          <t>SecurityConfig.java; SecurityHeadersTest</t>
        </is>
      </c>
    </row>
    <row r="16" ht="90" customHeight="1" s="35">
      <c r="A16" s="19" t="inlineStr">
        <is>
          <t>V3.4</t>
        </is>
      </c>
      <c r="B16" s="19" t="inlineStr">
        <is>
          <t>Browser Security Mechanism Headers</t>
        </is>
      </c>
      <c r="C16" s="20" t="inlineStr">
        <is>
          <t>V3.4.2</t>
        </is>
      </c>
      <c r="D16" s="21"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22" t="n">
        <v>1</v>
      </c>
      <c r="F16" s="18" t="inlineStr">
        <is>
          <t>Compliant</t>
        </is>
      </c>
      <c r="G16" s="41" t="inlineStr">
        <is>
          <t>CORS/security header behavior is configured through Spring Security and validated in runtime evidence.</t>
        </is>
      </c>
      <c r="H16" s="41" t="inlineStr">
        <is>
          <t>SecurityConfig.java; runtime-endpoints.md</t>
        </is>
      </c>
    </row>
    <row r="17" ht="120" customHeight="1" s="35">
      <c r="A17" s="14" t="inlineStr">
        <is>
          <t>V3.4</t>
        </is>
      </c>
      <c r="B17" s="14" t="inlineStr">
        <is>
          <t>Browser Security Mechanism Headers</t>
        </is>
      </c>
      <c r="C17" s="15" t="inlineStr">
        <is>
          <t>V3.4.3</t>
        </is>
      </c>
      <c r="D17" s="16"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17" t="n">
        <v>2</v>
      </c>
      <c r="F17" s="18" t="inlineStr">
        <is>
          <t>Compliant</t>
        </is>
      </c>
      <c r="G17" s="16" t="inlineStr">
        <is>
          <t>CSP now includes default-src 'self', script-src 'self', object-src 'none', frame-ancestors 'none', base-uri 'none', form-action 'self' and upgrade-insecure-requests, without unsafe-inline/unsafe-eval.</t>
        </is>
      </c>
      <c r="H17" s="16" t="inlineStr">
        <is>
          <t>SecurityConfig.java; SecurityHeadersTest; FrontendXssDataExposureTest</t>
        </is>
      </c>
    </row>
    <row r="18" ht="120" customHeight="1" s="35">
      <c r="A18" s="19" t="inlineStr">
        <is>
          <t>V3.4</t>
        </is>
      </c>
      <c r="B18" s="19" t="inlineStr">
        <is>
          <t>Browser Security Mechanism Headers</t>
        </is>
      </c>
      <c r="C18" s="20" t="inlineStr">
        <is>
          <t>V3.4.4</t>
        </is>
      </c>
      <c r="D18" s="21"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17" t="n">
        <v>2</v>
      </c>
      <c r="F18" s="18" t="inlineStr">
        <is>
          <t>Compliant</t>
        </is>
      </c>
      <c r="G18" s="16" t="inlineStr">
        <is>
          <t>X-Content-Type-Options nosniff is configured through Spring Security and verified by a security header test.</t>
        </is>
      </c>
      <c r="H18" s="21" t="inlineStr">
        <is>
          <t>SecurityConfig.java; SecurityHeadersTest.publicPageIncludesSecurityHeaders</t>
        </is>
      </c>
    </row>
    <row r="19" ht="105" customHeight="1" s="35">
      <c r="A19" s="14" t="inlineStr">
        <is>
          <t>V3.4</t>
        </is>
      </c>
      <c r="B19" s="14" t="inlineStr">
        <is>
          <t>Browser Security Mechanism Headers</t>
        </is>
      </c>
      <c r="C19" s="15" t="inlineStr">
        <is>
          <t>V3.4.5</t>
        </is>
      </c>
      <c r="D19" s="16"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17" t="n">
        <v>2</v>
      </c>
      <c r="F19" s="18" t="inlineStr">
        <is>
          <t>Compliant</t>
        </is>
      </c>
      <c r="G19" s="16" t="inlineStr">
        <is>
          <t>Referrer-Policy is configured as no-referrer and verified by a security header test.</t>
        </is>
      </c>
      <c r="H19" s="16" t="inlineStr">
        <is>
          <t>SecurityConfig.java; SecurityHeadersTest.publicPageIncludesSecurityHeaders</t>
        </is>
      </c>
    </row>
    <row r="20" ht="90" customHeight="1" s="35">
      <c r="A20" s="19" t="inlineStr">
        <is>
          <t>V3.4</t>
        </is>
      </c>
      <c r="B20" s="19" t="inlineStr">
        <is>
          <t>Browser Security Mechanism Headers</t>
        </is>
      </c>
      <c r="C20" s="20" t="inlineStr">
        <is>
          <t>V3.4.6</t>
        </is>
      </c>
      <c r="D20" s="21"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17" t="n">
        <v>2</v>
      </c>
      <c r="F20" s="18" t="inlineStr">
        <is>
          <t>Compliant</t>
        </is>
      </c>
      <c r="G20" s="16" t="inlineStr">
        <is>
          <t>Clickjacking protection is configured using CSP frame-ancestors none and X-Frame-Options DENY.</t>
        </is>
      </c>
      <c r="H20" s="21" t="inlineStr">
        <is>
          <t>SecurityConfig.java; SecurityHeadersTest.publicPageIncludesSecurityHeaders</t>
        </is>
      </c>
    </row>
    <row r="21" ht="45" customHeight="1" s="35">
      <c r="A21" s="14" t="inlineStr">
        <is>
          <t>V3.4</t>
        </is>
      </c>
      <c r="B21" s="14" t="inlineStr">
        <is>
          <t>Browser Security Mechanism Headers</t>
        </is>
      </c>
      <c r="C21" s="15" t="inlineStr">
        <is>
          <t>V3.4.7</t>
        </is>
      </c>
      <c r="D21" s="16" t="inlineStr">
        <is>
          <t>Verify that the Content-Security-Policy header field specifies a location to report violations.</t>
        </is>
      </c>
      <c r="E21" s="23" t="n">
        <v>3</v>
      </c>
      <c r="F21" s="18" t="inlineStr">
        <is>
          <t>Not Started</t>
        </is>
      </c>
      <c r="G21" s="16" t="inlineStr">
        <is>
          <t>CSP violation reporting is not configured.</t>
        </is>
      </c>
      <c r="H21" s="16" t="inlineStr">
        <is>
          <t>No implementation evidence found</t>
        </is>
      </c>
    </row>
    <row r="22" ht="90" customHeight="1" s="35">
      <c r="A22" s="19" t="inlineStr">
        <is>
          <t>V3.4</t>
        </is>
      </c>
      <c r="B22" s="19" t="inlineStr">
        <is>
          <t>Browser Security Mechanism Headers</t>
        </is>
      </c>
      <c r="C22" s="20" t="inlineStr">
        <is>
          <t>V3.4.8</t>
        </is>
      </c>
      <c r="D22" s="21"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23" t="n">
        <v>3</v>
      </c>
      <c r="F22" s="18" t="inlineStr">
        <is>
          <t>Compliant</t>
        </is>
      </c>
      <c r="G22" s="16" t="inlineStr">
        <is>
          <t>COOP, COEP and CORP are configured and asserted for rendered public pages.</t>
        </is>
      </c>
      <c r="H22" s="21" t="inlineStr">
        <is>
          <t>SecurityConfig.java; SecurityHeadersTest</t>
        </is>
      </c>
    </row>
    <row r="23" ht="18" customHeight="1" s="35">
      <c r="A23" s="13" t="inlineStr">
        <is>
          <t>V3.5</t>
        </is>
      </c>
      <c r="B23" s="13" t="inlineStr">
        <is>
          <t>Browser Origin Separation</t>
        </is>
      </c>
      <c r="C23" s="13" t="n"/>
      <c r="D23" s="13" t="n"/>
      <c r="E23" s="13" t="n"/>
      <c r="F23" s="13" t="n"/>
      <c r="G23" s="13" t="n"/>
      <c r="H23" s="13" t="n"/>
    </row>
    <row r="24" ht="120" customHeight="1" s="35">
      <c r="A24" s="14" t="inlineStr">
        <is>
          <t>V3.5</t>
        </is>
      </c>
      <c r="B24" s="14" t="inlineStr">
        <is>
          <t>Browser Origin Separation</t>
        </is>
      </c>
      <c r="C24" s="15" t="inlineStr">
        <is>
          <t>V3.5.1</t>
        </is>
      </c>
      <c r="D24" s="16"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22" t="n">
        <v>1</v>
      </c>
      <c r="F24" s="18" t="inlineStr">
        <is>
          <t>Compliant</t>
        </is>
      </c>
      <c r="G24" s="16" t="inlineStr">
        <is>
          <t>Unsafe cross-site requests are rejected using Sec-Fetch-Site/Origin validation before controller handling, in addition to Bearer authentication and RBAC.</t>
        </is>
      </c>
      <c r="H24" s="16" t="inlineStr">
        <is>
          <t>SecurityConfig.java; SecurityHeadersTest</t>
        </is>
      </c>
    </row>
    <row r="25" ht="105" customHeight="1" s="35">
      <c r="A25" s="19" t="inlineStr">
        <is>
          <t>V3.5</t>
        </is>
      </c>
      <c r="B25" s="19" t="inlineStr">
        <is>
          <t>Browser Origin Separation</t>
        </is>
      </c>
      <c r="C25" s="20" t="inlineStr">
        <is>
          <t>V3.5.2</t>
        </is>
      </c>
      <c r="D25" s="21"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22" t="n">
        <v>1</v>
      </c>
      <c r="F25" s="18" t="inlineStr">
        <is>
          <t>Not Applicable</t>
        </is>
      </c>
      <c r="G25" s="21" t="inlineStr">
        <is>
          <t>CORS preflight is not used as the protection mechanism for sensitive functionality; protected endpoints rely on Bearer authentication and RBAC.</t>
        </is>
      </c>
      <c r="H25" s="21" t="inlineStr">
        <is>
          <t>SecurityConfig.java; JwtAuthenticationFilter.java</t>
        </is>
      </c>
    </row>
    <row r="26" ht="120" customHeight="1" s="35">
      <c r="A26" s="14" t="inlineStr">
        <is>
          <t>V3.5</t>
        </is>
      </c>
      <c r="B26" s="14" t="inlineStr">
        <is>
          <t>Browser Origin Separation</t>
        </is>
      </c>
      <c r="C26" s="15" t="inlineStr">
        <is>
          <t>V3.5.3</t>
        </is>
      </c>
      <c r="D26" s="16"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22" t="n">
        <v>1</v>
      </c>
      <c r="F26" s="18" t="inlineStr">
        <is>
          <t>Compliant</t>
        </is>
      </c>
      <c r="G26" s="16" t="inlineStr">
        <is>
          <t>State-changing sensitive operations use POST or PATCH; GET endpoints are used for read-only listing, verification, manifest, and download operations.</t>
        </is>
      </c>
      <c r="H26" s="16" t="inlineStr">
        <is>
          <t>ReportController.java; AnalystController.java; AdminController.java; AdminBackupController.java; AuditController.java</t>
        </is>
      </c>
    </row>
    <row r="27" ht="75" customHeight="1" s="35">
      <c r="A27" s="19" t="inlineStr">
        <is>
          <t>V3.5</t>
        </is>
      </c>
      <c r="B27" s="19" t="inlineStr">
        <is>
          <t>Browser Origin Separation</t>
        </is>
      </c>
      <c r="C27" s="20" t="inlineStr">
        <is>
          <t>V3.5.4</t>
        </is>
      </c>
      <c r="D27" s="21"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17" t="n">
        <v>2</v>
      </c>
      <c r="F27" s="18" t="inlineStr">
        <is>
          <t>Not Applicable</t>
        </is>
      </c>
      <c r="G27" s="21" t="inlineStr">
        <is>
          <t>GhostReport is implemented as a single Spring Boot application serving static frontend and APIs; no separate browser applications or hostnames are defined.</t>
        </is>
      </c>
      <c r="H27" s="21" t="inlineStr">
        <is>
          <t>N/A – single application in current Sprint 1 scope</t>
        </is>
      </c>
    </row>
    <row r="28" ht="45" customHeight="1" s="35">
      <c r="A28" s="14" t="inlineStr">
        <is>
          <t>V3.5</t>
        </is>
      </c>
      <c r="B28" s="14" t="inlineStr">
        <is>
          <t>Browser Origin Separation</t>
        </is>
      </c>
      <c r="C28" s="15" t="inlineStr">
        <is>
          <t>V3.5.5</t>
        </is>
      </c>
      <c r="D28" s="16" t="inlineStr">
        <is>
          <t>Verify that messages received by the postMessage interface are discarded if the origin of the message is not trusted, or if the syntax of the message is invalid.</t>
        </is>
      </c>
      <c r="E28" s="17" t="n">
        <v>2</v>
      </c>
      <c r="F28" s="18" t="inlineStr">
        <is>
          <t>Not Applicable</t>
        </is>
      </c>
      <c r="G28" s="16" t="inlineStr">
        <is>
          <t>No postMessage usage was found in the static frontend.</t>
        </is>
      </c>
      <c r="H28" s="16" t="inlineStr">
        <is>
          <t>No postMessage usage was found in the static frontend.</t>
        </is>
      </c>
      <c r="T28" s="38" t="n"/>
    </row>
    <row r="29" ht="45" customHeight="1" s="35">
      <c r="A29" s="19" t="inlineStr">
        <is>
          <t>V3.5</t>
        </is>
      </c>
      <c r="B29" s="19" t="inlineStr">
        <is>
          <t>Browser Origin Separation</t>
        </is>
      </c>
      <c r="C29" s="20" t="inlineStr">
        <is>
          <t>V3.5.6</t>
        </is>
      </c>
      <c r="D29" s="21" t="inlineStr">
        <is>
          <t>Verify that JSONP functionality is not enabled anywhere across the application to avoid Cross-Site Script Inclusion (XSSI) attacks.</t>
        </is>
      </c>
      <c r="E29" s="23" t="n">
        <v>3</v>
      </c>
      <c r="F29" s="18" t="inlineStr">
        <is>
          <t>Compliant</t>
        </is>
      </c>
      <c r="G29" s="41" t="inlineStr">
        <is>
          <t>No JSONP flow is used; API responses are JSON/static resources under controlled endpoints.</t>
        </is>
      </c>
      <c r="H29" s="41" t="inlineStr">
        <is>
          <t>controllers; runtime-endpoints.md</t>
        </is>
      </c>
    </row>
    <row r="30" ht="45" customHeight="1" s="35">
      <c r="A30" s="14" t="inlineStr">
        <is>
          <t>V3.5</t>
        </is>
      </c>
      <c r="B30" s="14" t="inlineStr">
        <is>
          <t>Browser Origin Separation</t>
        </is>
      </c>
      <c r="C30" s="15" t="inlineStr">
        <is>
          <t>V3.5.7</t>
        </is>
      </c>
      <c r="D30" s="16" t="inlineStr">
        <is>
          <t>Verify that data requiring authorization is not included in script resource responses, like JavaScript files, to prevent Cross-Site Script Inclusion (XSSI) attacks.</t>
        </is>
      </c>
      <c r="E30" s="23" t="n">
        <v>3</v>
      </c>
      <c r="F30" s="18" t="inlineStr">
        <is>
          <t>Compliant</t>
        </is>
      </c>
      <c r="G30" s="16" t="inlineStr">
        <is>
          <t>JavaScript resources are static files and do not include authorization-required user data; protected data is retrieved through JSON API calls.</t>
        </is>
      </c>
      <c r="H30" s="16" t="inlineStr">
        <is>
          <t>js/api.js; admin.html; analyst.html; auditor.html; SecurityConfig.java</t>
        </is>
      </c>
    </row>
    <row r="31" ht="120" customHeight="1" s="35">
      <c r="A31" s="19" t="inlineStr">
        <is>
          <t>V3.5</t>
        </is>
      </c>
      <c r="B31" s="19" t="inlineStr">
        <is>
          <t>Browser Origin Separation</t>
        </is>
      </c>
      <c r="C31" s="20" t="inlineStr">
        <is>
          <t>V3.5.8</t>
        </is>
      </c>
      <c r="D31" s="21"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23" t="n">
        <v>3</v>
      </c>
      <c r="F31" s="18" t="inlineStr">
        <is>
          <t>Compliant</t>
        </is>
      </c>
      <c r="G31" s="21" t="inlineStr">
        <is>
          <t>Authenticated resources require Bearer/RBAC and cross-origin loading is restricted with Sec-Fetch validation plus Cross-Origin-Resource-Policy same-origin.</t>
        </is>
      </c>
      <c r="H31" s="21" t="inlineStr">
        <is>
          <t>SecurityConfig.java; SecurityHeadersTest; AUTHORIZATION_MATRIX.md</t>
        </is>
      </c>
    </row>
    <row r="32" ht="18" customHeight="1" s="35">
      <c r="A32" s="13" t="inlineStr">
        <is>
          <t>V3.6</t>
        </is>
      </c>
      <c r="B32" s="13" t="inlineStr">
        <is>
          <t>External Resource Integrity</t>
        </is>
      </c>
      <c r="C32" s="13" t="n"/>
      <c r="D32" s="13" t="n"/>
      <c r="E32" s="13" t="n"/>
      <c r="F32" s="13" t="n"/>
      <c r="G32" s="13" t="n"/>
      <c r="H32" s="13" t="n"/>
    </row>
    <row r="33" ht="90" customHeight="1" s="35">
      <c r="A33" s="14" t="inlineStr">
        <is>
          <t>V3.6</t>
        </is>
      </c>
      <c r="B33" s="14" t="inlineStr">
        <is>
          <t>External Resource Integrity</t>
        </is>
      </c>
      <c r="C33" s="15" t="inlineStr">
        <is>
          <t>V3.6.1</t>
        </is>
      </c>
      <c r="D33" s="16"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23" t="n">
        <v>3</v>
      </c>
      <c r="F33" s="18" t="inlineStr">
        <is>
          <t>Not Applicable</t>
        </is>
      </c>
      <c r="G33" s="16" t="inlineStr">
        <is>
          <t>No external client-side scripts, stylesheets, fonts, or CDN assets were found, so SRI is not applicable.</t>
        </is>
      </c>
      <c r="H33" s="16" t="inlineStr">
        <is>
          <t>static HTML files; js/api.js; css files</t>
        </is>
      </c>
    </row>
    <row r="34" ht="18" customHeight="1" s="35">
      <c r="A34" s="13" t="inlineStr">
        <is>
          <t>V3.7</t>
        </is>
      </c>
      <c r="B34" s="13" t="inlineStr">
        <is>
          <t>Other Browser Security Considerations</t>
        </is>
      </c>
      <c r="C34" s="13" t="n"/>
      <c r="D34" s="13" t="n"/>
      <c r="E34" s="13" t="n"/>
      <c r="F34" s="13" t="n"/>
      <c r="G34" s="13" t="n"/>
      <c r="H34" s="13" t="n"/>
    </row>
    <row r="35" ht="75" customHeight="1" s="35">
      <c r="A35" s="14" t="inlineStr">
        <is>
          <t>V3.7</t>
        </is>
      </c>
      <c r="B35" s="14" t="inlineStr">
        <is>
          <t>Other Browser Security Considerations</t>
        </is>
      </c>
      <c r="C35" s="15" t="inlineStr">
        <is>
          <t>V3.7.1</t>
        </is>
      </c>
      <c r="D35" s="16"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17" t="n">
        <v>2</v>
      </c>
      <c r="F35" s="18" t="inlineStr">
        <is>
          <t>Compliant</t>
        </is>
      </c>
      <c r="G35" s="16" t="inlineStr">
        <is>
          <t>The frontend uses supported standard HTML, CSS, and vanilla JavaScript only; no obsolete browser plugins or unsupported client technologies were found.</t>
        </is>
      </c>
      <c r="H35" s="16" t="inlineStr">
        <is>
          <t>src/main/resources/static/*.html; src/main/resources/static/js/api.js; css files</t>
        </is>
      </c>
    </row>
    <row r="36" ht="60" customHeight="1" s="35">
      <c r="A36" s="19" t="inlineStr">
        <is>
          <t>V3.7</t>
        </is>
      </c>
      <c r="B36" s="19" t="inlineStr">
        <is>
          <t>Other Browser Security Considerations</t>
        </is>
      </c>
      <c r="C36" s="20" t="inlineStr">
        <is>
          <t>V3.7.2</t>
        </is>
      </c>
      <c r="D36" s="21" t="inlineStr">
        <is>
          <t>Verify that the application will only automatically redirect the user to a different hostname or domain (which is not controlled by the application) where the destination appears on an allowlist.</t>
        </is>
      </c>
      <c r="E36" s="17" t="n">
        <v>2</v>
      </c>
      <c r="F36" s="18" t="inlineStr">
        <is>
          <t>Not Applicable</t>
        </is>
      </c>
      <c r="G36" s="21" t="inlineStr">
        <is>
          <t>No automatic redirects to external domains were found; the only automatic redirect is internal to track.html.</t>
        </is>
      </c>
      <c r="H36" s="21" t="inlineStr">
        <is>
          <t>N/A – frontend/browser functionality not in current system scope</t>
        </is>
      </c>
    </row>
    <row r="37" ht="45" customHeight="1" s="35">
      <c r="A37" s="14" t="inlineStr">
        <is>
          <t>V3.7</t>
        </is>
      </c>
      <c r="B37" s="14" t="inlineStr">
        <is>
          <t>Other Browser Security Considerations</t>
        </is>
      </c>
      <c r="C37" s="15" t="inlineStr">
        <is>
          <t>V3.7.3</t>
        </is>
      </c>
      <c r="D37" s="16" t="inlineStr">
        <is>
          <t>Verify that the application shows a notification when the user is being redirected to a URL outside of the application's control, with an option to cancel the navigation.</t>
        </is>
      </c>
      <c r="E37" s="23" t="n">
        <v>3</v>
      </c>
      <c r="F37" s="18" t="inlineStr">
        <is>
          <t>Not Applicable</t>
        </is>
      </c>
      <c r="G37" s="16" t="inlineStr">
        <is>
          <t>No redirects outside the application’s control were implemented.</t>
        </is>
      </c>
      <c r="H37" s="16" t="inlineStr">
        <is>
          <t>N/A – no external redirects implemented</t>
        </is>
      </c>
    </row>
    <row r="38" ht="75" customHeight="1" s="35">
      <c r="A38" s="19" t="inlineStr">
        <is>
          <t>V3.7</t>
        </is>
      </c>
      <c r="B38" s="19" t="inlineStr">
        <is>
          <t>Other Browser Security Considerations</t>
        </is>
      </c>
      <c r="C38" s="20" t="inlineStr">
        <is>
          <t>V3.7.4</t>
        </is>
      </c>
      <c r="D38" s="21"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23" t="n">
        <v>3</v>
      </c>
      <c r="F38" s="18" t="inlineStr">
        <is>
          <t>Not Started</t>
        </is>
      </c>
      <c r="G38" s="21" t="inlineStr">
        <is>
          <t>HTTPS is required, but HSTS preload configuration is not defined.</t>
        </is>
      </c>
      <c r="H38" s="21" t="inlineStr">
        <is>
          <t>DESOFS Phase 1: assumptions §2.2 HTTPS; §5.3 RS7; AC9/AC10</t>
        </is>
      </c>
    </row>
    <row r="39" ht="60" customHeight="1" s="35">
      <c r="A39" s="14" t="inlineStr">
        <is>
          <t>V3.7</t>
        </is>
      </c>
      <c r="B39" s="14" t="inlineStr">
        <is>
          <t>Other Browser Security Considerations</t>
        </is>
      </c>
      <c r="C39" s="15" t="inlineStr">
        <is>
          <t>V3.7.5</t>
        </is>
      </c>
      <c r="D39" s="16" t="inlineStr">
        <is>
          <t>Verify that the application behaves as documented (such as warning the user or blocking access) if the browser used to access the application does not support the expected security features.</t>
        </is>
      </c>
      <c r="E39" s="23" t="n">
        <v>3</v>
      </c>
      <c r="F39" s="18" t="inlineStr">
        <is>
          <t>Not Started</t>
        </is>
      </c>
      <c r="G39" s="16" t="inlineStr">
        <is>
          <t>No browser-specific behavior or fallback mechanisms are defined in the design.</t>
        </is>
      </c>
      <c r="H39" s="16" t="inlineStr">
        <is>
          <t>Project.pdf: backend API, 3 roles, OS/file ops, ASVS deliverable</t>
        </is>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9"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1"/>
  <sheetViews>
    <sheetView topLeftCell="A10" zoomScale="70" zoomScaleNormal="70" workbookViewId="0">
      <selection activeCell="H15" sqref="H15"/>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V4.1</t>
        </is>
      </c>
      <c r="B2" s="13" t="inlineStr">
        <is>
          <t>Generic Web Service Security</t>
        </is>
      </c>
      <c r="C2" s="13" t="n"/>
      <c r="D2" s="13" t="n"/>
      <c r="E2" s="13" t="n"/>
      <c r="F2" s="13" t="n"/>
      <c r="G2" s="13" t="n"/>
      <c r="H2" s="13" t="n"/>
    </row>
    <row r="3" ht="90" customHeight="1" s="35">
      <c r="A3" s="14" t="inlineStr">
        <is>
          <t>V4.1</t>
        </is>
      </c>
      <c r="B3" s="14" t="inlineStr">
        <is>
          <t>Generic Web Service Security</t>
        </is>
      </c>
      <c r="C3" s="15" t="inlineStr">
        <is>
          <t>V4.1.1</t>
        </is>
      </c>
      <c r="D3" s="16"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22" t="n">
        <v>1</v>
      </c>
      <c r="F3" s="18" t="inlineStr">
        <is>
          <t>Compliant</t>
        </is>
      </c>
      <c r="G3" s="40" t="inlineStr">
        <is>
          <t>Runtime probes verify controlled responses and headers for public, auth, report and role-protected endpoints.</t>
        </is>
      </c>
      <c r="H3" s="40" t="inlineStr">
        <is>
          <t>runtime-endpoints.md</t>
        </is>
      </c>
    </row>
    <row r="4" ht="105" customHeight="1" s="35">
      <c r="A4" s="19" t="inlineStr">
        <is>
          <t>V4.1</t>
        </is>
      </c>
      <c r="B4" s="19" t="inlineStr">
        <is>
          <t>Generic Web Service Security</t>
        </is>
      </c>
      <c r="C4" s="20" t="inlineStr">
        <is>
          <t>V4.1.2</t>
        </is>
      </c>
      <c r="D4" s="21"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17" t="n">
        <v>2</v>
      </c>
      <c r="F4" s="18" t="inlineStr">
        <is>
          <t>Compliant</t>
        </is>
      </c>
      <c r="G4" s="41" t="inlineStr">
        <is>
          <t>API and page responses use controlled status codes; protected endpoints return 401/403 rather than leaking internals.</t>
        </is>
      </c>
      <c r="H4" s="41" t="inlineStr">
        <is>
          <t>SecurityConfig.java; runtime-endpoints.md</t>
        </is>
      </c>
    </row>
    <row r="5" ht="75" customHeight="1" s="35">
      <c r="A5" s="14" t="inlineStr">
        <is>
          <t>V4.1</t>
        </is>
      </c>
      <c r="B5" s="14" t="inlineStr">
        <is>
          <t>Generic Web Service Security</t>
        </is>
      </c>
      <c r="C5" s="15" t="inlineStr">
        <is>
          <t>V4.1.3</t>
        </is>
      </c>
      <c r="D5" s="16"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17" t="n">
        <v>2</v>
      </c>
      <c r="F5" s="18" t="inlineStr">
        <is>
          <t>Compliant</t>
        </is>
      </c>
      <c r="G5" s="16" t="inlineStr">
        <is>
          <t>Application code does not trust user-supplied X-Forwarded/X-Real-IP/X-User-ID headers directly; production reverse-proxy mode requires framework/native forwarded-header handling plus explicit trusted-proxy enablement.</t>
        </is>
      </c>
      <c r="H5" s="16" t="inlineStr">
        <is>
          <t>SecurityConfigurationValidator.java; application-prod.yaml; SecurityConfigurationValidatorTest</t>
        </is>
      </c>
    </row>
    <row r="6" ht="75" customHeight="1" s="35">
      <c r="A6" s="19" t="inlineStr">
        <is>
          <t>V4.1</t>
        </is>
      </c>
      <c r="B6" s="19" t="inlineStr">
        <is>
          <t>Generic Web Service Security</t>
        </is>
      </c>
      <c r="C6" s="20" t="inlineStr">
        <is>
          <t>V4.1.4</t>
        </is>
      </c>
      <c r="D6" s="21" t="inlineStr">
        <is>
          <t>Verify that only HTTP methods that are explicitly supported by the application or its API (including OPTIONS during preflight requests) can be used and that unused methods are blocked.</t>
        </is>
      </c>
      <c r="E6" s="23" t="n">
        <v>3</v>
      </c>
      <c r="F6" s="18" t="inlineStr">
        <is>
          <t>Compliant</t>
        </is>
      </c>
      <c r="G6" s="41" t="inlineStr">
        <is>
          <t>Wrong-method probes return controlled errors without stack traces.</t>
        </is>
      </c>
      <c r="H6" s="41" t="inlineStr">
        <is>
          <t>runtime-endpoints.md; runtime-probe-summary.json</t>
        </is>
      </c>
    </row>
    <row r="7" ht="60" customHeight="1" s="35">
      <c r="A7" s="14" t="inlineStr">
        <is>
          <t>V4.1</t>
        </is>
      </c>
      <c r="B7" s="14" t="inlineStr">
        <is>
          <t>Generic Web Service Security</t>
        </is>
      </c>
      <c r="C7" s="15" t="inlineStr">
        <is>
          <t>V4.1.5</t>
        </is>
      </c>
      <c r="D7" s="16" t="inlineStr">
        <is>
          <t>Verify that per-message digital signatures are used to provide additional assurance on top of transport protections for requests or transactions which are highly sensitive or which traverse a number of systems.</t>
        </is>
      </c>
      <c r="E7" s="23" t="n">
        <v>3</v>
      </c>
      <c r="F7" s="18" t="inlineStr">
        <is>
          <t>Not Applicable</t>
        </is>
      </c>
      <c r="G7" s="16" t="inlineStr">
        <is>
          <t>Not applicable in the current system design.</t>
        </is>
      </c>
      <c r="H7" s="16" t="inlineStr">
        <is>
          <t>N/A – not in current system scope</t>
        </is>
      </c>
    </row>
    <row r="8" ht="18" customHeight="1" s="35">
      <c r="A8" s="13" t="inlineStr">
        <is>
          <t>V4.2</t>
        </is>
      </c>
      <c r="B8" s="13" t="inlineStr">
        <is>
          <t>HTTP Message Structure Validation</t>
        </is>
      </c>
      <c r="C8" s="13" t="n"/>
      <c r="D8" s="13" t="n"/>
      <c r="E8" s="13" t="n"/>
      <c r="F8" s="13" t="n"/>
      <c r="G8" s="13" t="n"/>
      <c r="H8" s="13" t="n"/>
    </row>
    <row r="9" ht="135" customHeight="1" s="35">
      <c r="A9" s="14" t="inlineStr">
        <is>
          <t>V4.2</t>
        </is>
      </c>
      <c r="B9" s="14" t="inlineStr">
        <is>
          <t>HTTP Message Structure Validation</t>
        </is>
      </c>
      <c r="C9" s="15" t="inlineStr">
        <is>
          <t>V4.2.1</t>
        </is>
      </c>
      <c r="D9" s="16"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17" t="n">
        <v>2</v>
      </c>
      <c r="F9" s="18" t="inlineStr">
        <is>
          <t>Compliant</t>
        </is>
      </c>
      <c r="G9" s="16" t="inlineStr">
        <is>
          <t>Spring/Tomcat performs HTTP message framing and the application now adds request boundary controls for unsupported TRACE, oversized Authorization/header values, and malformed header characters. External proxy framing remains a deployment control.</t>
        </is>
      </c>
      <c r="H9" s="16" t="inlineStr">
        <is>
          <t>SecurityConfig.java; SecurityHeadersTest; application.yaml; application-prod.yaml</t>
        </is>
      </c>
    </row>
    <row r="10" ht="75" customHeight="1" s="35">
      <c r="A10" s="19" t="inlineStr">
        <is>
          <t>V4.2</t>
        </is>
      </c>
      <c r="B10" s="19" t="inlineStr">
        <is>
          <t>HTTP Message Structure Validation</t>
        </is>
      </c>
      <c r="C10" s="20" t="inlineStr">
        <is>
          <t>V4.2.2</t>
        </is>
      </c>
      <c r="D10" s="21" t="inlineStr">
        <is>
          <t>Verify that when generating HTTP messages, the Content-Length header field does not conflict with the length of the content as determined by the framing of the HTTP protocol, in order to prevent request smuggling attacks.</t>
        </is>
      </c>
      <c r="E10" s="23" t="n">
        <v>3</v>
      </c>
      <c r="F10" s="18" t="inlineStr">
        <is>
          <t>Compliant</t>
        </is>
      </c>
      <c r="G10" s="16" t="inlineStr">
        <is>
          <t>Application code does not manually construct conflicting Content-Length values and relies on Spring/Tomcat response framing; downloads use framework response entities/content disposition handling.</t>
        </is>
      </c>
      <c r="H10" s="21" t="inlineStr">
        <is>
          <t>AdminBackupController.java; ReportController.java; SecurityConfig.java</t>
        </is>
      </c>
    </row>
    <row r="11" ht="75" customHeight="1" s="35">
      <c r="A11" s="14" t="inlineStr">
        <is>
          <t>V4.2</t>
        </is>
      </c>
      <c r="B11" s="14" t="inlineStr">
        <is>
          <t>HTTP Message Structure Validation</t>
        </is>
      </c>
      <c r="C11" s="15" t="inlineStr">
        <is>
          <t>V4.2.3</t>
        </is>
      </c>
      <c r="D11" s="16" t="inlineStr">
        <is>
          <t>Verify that the application does not send nor accept HTTP/2 or HTTP/3 messages with connection-specific header fields such as Transfer-Encoding to prevent response splitting and header injection attacks.</t>
        </is>
      </c>
      <c r="E11" s="23" t="n">
        <v>3</v>
      </c>
      <c r="F11" s="18" t="inlineStr">
        <is>
          <t>In Progress</t>
        </is>
      </c>
      <c r="G11" s="16" t="inlineStr">
        <is>
          <t>No manual Transfer-Encoding or connection-specific HTTP/2/HTTP/3 header handling was found, but there is no explicit HTTP/2/3 proxy/server policy or test evidence.</t>
        </is>
      </c>
      <c r="H11" s="16" t="inlineStr">
        <is>
          <t>application.yaml; pom.xml</t>
        </is>
      </c>
    </row>
    <row r="12" ht="60" customHeight="1" s="35">
      <c r="A12" s="19" t="inlineStr">
        <is>
          <t>V4.2</t>
        </is>
      </c>
      <c r="B12" s="19" t="inlineStr">
        <is>
          <t>HTTP Message Structure Validation</t>
        </is>
      </c>
      <c r="C12" s="20" t="inlineStr">
        <is>
          <t>V4.2.4</t>
        </is>
      </c>
      <c r="D12" s="21" t="inlineStr">
        <is>
          <t>Verify that the application only accepts HTTP/2 and HTTP/3 requests where the header fields and values do not contain any CR (\r), LF (\n), or CRLF (\r\n) sequences, to prevent header injection attacks.</t>
        </is>
      </c>
      <c r="E12" s="23" t="n">
        <v>3</v>
      </c>
      <c r="F12" s="18" t="inlineStr">
        <is>
          <t>Compliant</t>
        </is>
      </c>
      <c r="G12" s="16" t="inlineStr">
        <is>
          <t>Request boundary filter rejects header names/values containing control characters, including CR/LF-style injection attempts before controller handling.</t>
        </is>
      </c>
      <c r="H12" s="21" t="inlineStr">
        <is>
          <t>SecurityConfig.java; SecurityHeadersTest</t>
        </is>
      </c>
    </row>
    <row r="13" ht="120" customHeight="1" s="35">
      <c r="A13" s="14" t="inlineStr">
        <is>
          <t>V4.2</t>
        </is>
      </c>
      <c r="B13" s="14" t="inlineStr">
        <is>
          <t>HTTP Message Structure Validation</t>
        </is>
      </c>
      <c r="C13" s="15" t="inlineStr">
        <is>
          <t>V4.2.5</t>
        </is>
      </c>
      <c r="D13" s="16"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23" t="n">
        <v>3</v>
      </c>
      <c r="F13" s="18" t="inlineStr">
        <is>
          <t>Compliant</t>
        </is>
      </c>
      <c r="G13" s="16" t="inlineStr">
        <is>
          <t>Server header size and application Authorization/header value limits are configured/tested, reducing oversized-header DoS and malformed request handling risk.</t>
        </is>
      </c>
      <c r="H13" s="16" t="inlineStr">
        <is>
          <t>application.yaml; application-prod.yaml; SecurityConfig.java; SecurityHeadersTest</t>
        </is>
      </c>
    </row>
    <row r="14" ht="18" customHeight="1" s="35">
      <c r="A14" s="13" t="inlineStr">
        <is>
          <t>V4.3</t>
        </is>
      </c>
      <c r="B14" s="13" t="inlineStr">
        <is>
          <t>GraphQL</t>
        </is>
      </c>
      <c r="C14" s="13" t="n"/>
      <c r="D14" s="13" t="n"/>
      <c r="E14" s="13" t="n"/>
      <c r="F14" s="13" t="n"/>
      <c r="G14" s="13" t="n"/>
      <c r="H14" s="13" t="n"/>
    </row>
    <row r="15" ht="60" customHeight="1" s="35">
      <c r="A15" s="14" t="inlineStr">
        <is>
          <t>V4.3</t>
        </is>
      </c>
      <c r="B15" s="14" t="inlineStr">
        <is>
          <t>GraphQL</t>
        </is>
      </c>
      <c r="C15" s="15" t="inlineStr">
        <is>
          <t>V4.3.1</t>
        </is>
      </c>
      <c r="D15" s="16" t="inlineStr">
        <is>
          <t>Verify that a query allowlist, depth limiting, amount limiting, or query cost analysis is used to prevent GraphQL or data layer expression Denial of Service (DoS) as a result of expensive, nested queries.</t>
        </is>
      </c>
      <c r="E15" s="17" t="n">
        <v>2</v>
      </c>
      <c r="F15" s="18" t="inlineStr">
        <is>
          <t>Not Applicable</t>
        </is>
      </c>
      <c r="G15" s="16" t="inlineStr">
        <is>
          <t>GraphQL is not implemented and no GraphQL dependency or endpoint was implemented.</t>
        </is>
      </c>
      <c r="H15" s="16" t="inlineStr">
        <is>
          <t>N/A – GraphQL not in current system scope</t>
        </is>
      </c>
    </row>
    <row r="16" ht="45" customHeight="1" s="35">
      <c r="A16" s="19" t="inlineStr">
        <is>
          <t>V4.3</t>
        </is>
      </c>
      <c r="B16" s="19" t="inlineStr">
        <is>
          <t>GraphQL</t>
        </is>
      </c>
      <c r="C16" s="20" t="inlineStr">
        <is>
          <t>V4.3.2</t>
        </is>
      </c>
      <c r="D16" s="21" t="inlineStr">
        <is>
          <t>Verify that GraphQL introspection queries are disabled in the production environment unless the GraphQL API is meant to be used by other parties.</t>
        </is>
      </c>
      <c r="E16" s="17" t="n">
        <v>2</v>
      </c>
      <c r="F16" s="18" t="inlineStr">
        <is>
          <t>Not Applicable</t>
        </is>
      </c>
      <c r="G16" s="21" t="inlineStr">
        <is>
          <t>Not applicable – the application does not expose a GraphQL interface.</t>
        </is>
      </c>
      <c r="H16" s="21" t="inlineStr">
        <is>
          <t>N/A – GraphQL not in current system scope</t>
        </is>
      </c>
    </row>
    <row r="17" ht="18" customHeight="1" s="35">
      <c r="A17" s="13" t="inlineStr">
        <is>
          <t>V4.4</t>
        </is>
      </c>
      <c r="B17" s="13" t="inlineStr">
        <is>
          <t>WebSocket</t>
        </is>
      </c>
      <c r="C17" s="13" t="n"/>
      <c r="D17" s="13" t="n"/>
      <c r="E17" s="13" t="n"/>
      <c r="F17" s="13" t="n"/>
      <c r="G17" s="13" t="n"/>
      <c r="H17" s="13" t="n"/>
    </row>
    <row r="18" ht="30" customHeight="1" s="35">
      <c r="A18" s="14" t="inlineStr">
        <is>
          <t>V4.4</t>
        </is>
      </c>
      <c r="B18" s="14" t="inlineStr">
        <is>
          <t>WebSocket</t>
        </is>
      </c>
      <c r="C18" s="15" t="inlineStr">
        <is>
          <t>V4.4.1</t>
        </is>
      </c>
      <c r="D18" s="16" t="inlineStr">
        <is>
          <t>Verify that WebSocket over TLS (WSS) is used for all WebSocket connections.</t>
        </is>
      </c>
      <c r="E18" s="22" t="n">
        <v>1</v>
      </c>
      <c r="F18" s="18" t="inlineStr">
        <is>
          <t>Not Applicable</t>
        </is>
      </c>
      <c r="G18" s="16" t="inlineStr">
        <is>
          <t>Not applicable – the application does not use WebSocket communication.</t>
        </is>
      </c>
      <c r="H18" s="16" t="inlineStr">
        <is>
          <t>N/A – WebSocket not in current system scope</t>
        </is>
      </c>
    </row>
    <row r="19" ht="45" customHeight="1" s="35">
      <c r="A19" s="19" t="inlineStr">
        <is>
          <t>V4.4</t>
        </is>
      </c>
      <c r="B19" s="19" t="inlineStr">
        <is>
          <t>WebSocket</t>
        </is>
      </c>
      <c r="C19" s="20" t="inlineStr">
        <is>
          <t>V4.4.2</t>
        </is>
      </c>
      <c r="D19" s="21" t="inlineStr">
        <is>
          <t>Verify that, during the initial HTTP WebSocket handshake, the Origin header field is checked against a list of origins allowed for the application.</t>
        </is>
      </c>
      <c r="E19" s="17" t="n">
        <v>2</v>
      </c>
      <c r="F19" s="18" t="inlineStr">
        <is>
          <t>Not Applicable</t>
        </is>
      </c>
      <c r="G19" s="21" t="inlineStr">
        <is>
          <t>Not applicable – the application does not use WebSocket communication.</t>
        </is>
      </c>
      <c r="H19" s="21" t="inlineStr">
        <is>
          <t>N/A – WebSocket not in current system scope</t>
        </is>
      </c>
    </row>
    <row r="20" ht="60" customHeight="1" s="35">
      <c r="A20" s="14" t="inlineStr">
        <is>
          <t>V4.4</t>
        </is>
      </c>
      <c r="B20" s="14" t="inlineStr">
        <is>
          <t>WebSocket</t>
        </is>
      </c>
      <c r="C20" s="15" t="inlineStr">
        <is>
          <t>V4.4.3</t>
        </is>
      </c>
      <c r="D20" s="16" t="inlineStr">
        <is>
          <t>Verify that, if the application's standard session management cannot be used, dedicated tokens are being used for this, which comply with the relevant Session Management security requirements.</t>
        </is>
      </c>
      <c r="E20" s="17" t="n">
        <v>2</v>
      </c>
      <c r="F20" s="18" t="inlineStr">
        <is>
          <t>Not Started</t>
        </is>
      </c>
      <c r="G20" s="16" t="inlineStr">
        <is>
          <t>WebSocket session management and token handling are not defined in the design.</t>
        </is>
      </c>
      <c r="H20" s="16" t="inlineStr">
        <is>
          <t>DESOFS Phase 1: DFD/trust boundaries §9; STRIDE §10; mitigations §11</t>
        </is>
      </c>
    </row>
    <row r="21" ht="60" customHeight="1" s="35">
      <c r="A21" s="19" t="inlineStr">
        <is>
          <t>V4.4</t>
        </is>
      </c>
      <c r="B21" s="19" t="inlineStr">
        <is>
          <t>WebSocket</t>
        </is>
      </c>
      <c r="C21" s="20" t="inlineStr">
        <is>
          <t>V4.4.4</t>
        </is>
      </c>
      <c r="D21" s="21" t="inlineStr">
        <is>
          <t>Verify that dedicated WebSocket session management tokens are initially obtained or validated through the previously authenticated HTTPS session when transitioning an existing HTTPS session to a WebSocket channel.</t>
        </is>
      </c>
      <c r="E21" s="17" t="n">
        <v>2</v>
      </c>
      <c r="F21" s="18" t="inlineStr">
        <is>
          <t>Not Applicable</t>
        </is>
      </c>
      <c r="G21" s="21" t="inlineStr">
        <is>
          <t>Not applicable – the application does not use WebSocket communication.</t>
        </is>
      </c>
      <c r="H21" s="21" t="inlineStr">
        <is>
          <t>N/A – WebSocket not in current system scope</t>
        </is>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1"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H18"/>
  <sheetViews>
    <sheetView zoomScale="80" zoomScaleNormal="80" workbookViewId="0">
      <selection activeCell="G8" sqref="G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V5.1</t>
        </is>
      </c>
      <c r="B2" s="13" t="inlineStr">
        <is>
          <t>File Handling Documentation</t>
        </is>
      </c>
      <c r="C2" s="13" t="n"/>
      <c r="D2" s="13" t="n"/>
      <c r="E2" s="13" t="n"/>
      <c r="F2" s="13" t="n"/>
      <c r="G2" s="13" t="n"/>
      <c r="H2" s="13" t="n"/>
    </row>
    <row r="3" ht="112.5" customHeight="1" s="35">
      <c r="A3" s="14" t="inlineStr">
        <is>
          <t>V5.1</t>
        </is>
      </c>
      <c r="B3" s="14" t="inlineStr">
        <is>
          <t>File Handling Documentation</t>
        </is>
      </c>
      <c r="C3" s="15" t="inlineStr">
        <is>
          <t>V5.1.1</t>
        </is>
      </c>
      <c r="D3" s="16"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17" t="n">
        <v>2</v>
      </c>
      <c r="F3" s="18" t="inlineStr">
        <is>
          <t>Compliant</t>
        </is>
      </c>
      <c r="G3" s="40" t="inlineStr">
        <is>
          <t>Allowed upload behavior, rejected extensions/MIME mismatches and path traversal handling are documented and tested.</t>
        </is>
      </c>
      <c r="H3" s="40" t="inlineStr">
        <is>
          <t>SECURITY_TESTING.md; runtime-endpoints.md; FileStorageService.java</t>
        </is>
      </c>
    </row>
    <row r="4" ht="18" customHeight="1" s="35">
      <c r="A4" s="13" t="inlineStr">
        <is>
          <t>V5.2</t>
        </is>
      </c>
      <c r="B4" s="13" t="inlineStr">
        <is>
          <t>File Upload and Content</t>
        </is>
      </c>
      <c r="C4" s="13" t="n"/>
      <c r="D4" s="13" t="n"/>
      <c r="E4" s="13" t="n"/>
      <c r="F4" s="13" t="n"/>
      <c r="G4" s="13" t="n"/>
      <c r="H4" s="13" t="n"/>
    </row>
    <row r="5" ht="120" customHeight="1" s="35">
      <c r="A5" s="14" t="inlineStr">
        <is>
          <t>V5.2</t>
        </is>
      </c>
      <c r="B5" s="14" t="inlineStr">
        <is>
          <t>File Upload and Content</t>
        </is>
      </c>
      <c r="C5" s="15" t="inlineStr">
        <is>
          <t>V5.2.1</t>
        </is>
      </c>
      <c r="D5" s="16" t="inlineStr">
        <is>
          <t>Verify that the application will only accept files of a size which it can process without causing a loss of performance or a denial of service attack.</t>
        </is>
      </c>
      <c r="E5" s="22" t="n">
        <v>1</v>
      </c>
      <c r="F5" s="18" t="inlineStr">
        <is>
          <t>Compliant</t>
        </is>
      </c>
      <c r="G5" s="16" t="inlineStr">
        <is>
          <t>Multipart and service-level 10MB file size limits are configured and enforced before storage, with tests covering oversized uploads.</t>
        </is>
      </c>
      <c r="H5" s="16" t="inlineStr">
        <is>
          <t>application.yaml; FileStorageService.java; ReportControllerAttachmentUploadTest.oversizedUploadUsesProductionLimitAndReturnsControlledError; FileStorageServiceTest.storeAttachmentRejectsOversizedFileUsingProductionLimit</t>
        </is>
      </c>
    </row>
    <row r="6" ht="150" customHeight="1" s="35">
      <c r="A6" s="19" t="inlineStr">
        <is>
          <t>V5.2</t>
        </is>
      </c>
      <c r="B6" s="19" t="inlineStr">
        <is>
          <t>File Upload and Content</t>
        </is>
      </c>
      <c r="C6" s="20" t="inlineStr">
        <is>
          <t>V5.2.2</t>
        </is>
      </c>
      <c r="D6" s="21"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22" t="n">
        <v>1</v>
      </c>
      <c r="F6" s="18" t="inlineStr">
        <is>
          <t>Compliant</t>
        </is>
      </c>
      <c r="G6" s="21" t="inlineStr">
        <is>
          <t>Uploaded files are checked against an allowed MIME list, matching extensions and content signatures/magic bytes before storage.</t>
        </is>
      </c>
      <c r="H6" s="21" t="inlineStr">
        <is>
          <t>FileStorageService.java; FileStorageServiceTest.storeAttachmentAcceptsValidPdfPngAndJpegSignatures; FileStorageServiceTest.storeAttachmentRejectsFakePdfMagicBytes; ReportControllerAttachmentUploadTest.fakePdfWithWrongMagicBytesIsRejected</t>
        </is>
      </c>
    </row>
    <row r="7" ht="45" customHeight="1" s="35">
      <c r="A7" s="14" t="inlineStr">
        <is>
          <t>V5.2</t>
        </is>
      </c>
      <c r="B7" s="14" t="inlineStr">
        <is>
          <t>File Upload and Content</t>
        </is>
      </c>
      <c r="C7" s="15" t="inlineStr">
        <is>
          <t>V5.2.3</t>
        </is>
      </c>
      <c r="D7" s="16" t="inlineStr">
        <is>
          <t>Verify that the application checks compressed files (e.g., zip, gz, docx, odt) against maximum allowed uncompressed size and against maximum number of files before uncompressing the file.</t>
        </is>
      </c>
      <c r="E7" s="17" t="n">
        <v>2</v>
      </c>
      <c r="F7" s="18" t="inlineStr">
        <is>
          <t>Not Applicable</t>
        </is>
      </c>
      <c r="G7" s="16" t="inlineStr">
        <is>
          <t>Not applicable – the documented upload scope does not include compressed archive handling.</t>
        </is>
      </c>
      <c r="H7" s="16" t="inlineStr">
        <is>
          <t>N/A – archive upload handling not in current system scope</t>
        </is>
      </c>
    </row>
    <row r="8" ht="71.25" customHeight="1" s="35">
      <c r="A8" s="19" t="inlineStr">
        <is>
          <t>V5.2</t>
        </is>
      </c>
      <c r="B8" s="19" t="inlineStr">
        <is>
          <t>File Upload and Content</t>
        </is>
      </c>
      <c r="C8" s="20" t="inlineStr">
        <is>
          <t>V5.2.4</t>
        </is>
      </c>
      <c r="D8" s="21" t="inlineStr">
        <is>
          <t>Verify that a file size quota and maximum number of files per user are enforced to ensure that a single user cannot fill up the storage with too many files, or excessively large files.</t>
        </is>
      </c>
      <c r="E8" s="23" t="n">
        <v>3</v>
      </c>
      <c r="F8" s="18" t="inlineStr">
        <is>
          <t>In Progress</t>
        </is>
      </c>
      <c r="G8" s="41" t="inlineStr">
        <is>
          <t>Size and type controls are implemented; production quota policy remains partially operational/configuration dependent.</t>
        </is>
      </c>
      <c r="H8" s="41" t="inlineStr">
        <is>
          <t>application*.properties; FileStorageService.java</t>
        </is>
      </c>
    </row>
    <row r="9" ht="60" customHeight="1" s="35">
      <c r="A9" s="14" t="inlineStr">
        <is>
          <t>V5.2</t>
        </is>
      </c>
      <c r="B9" s="14" t="inlineStr">
        <is>
          <t>File Upload and Content</t>
        </is>
      </c>
      <c r="C9" s="15" t="inlineStr">
        <is>
          <t>V5.2.5</t>
        </is>
      </c>
      <c r="D9" s="16" t="inlineStr">
        <is>
          <t>Verify that the application does not allow uploading compressed files containing symlinks unless this is specifically required (in which case it will be necessary to enforce an allowlist of the files that can be symlinked to).</t>
        </is>
      </c>
      <c r="E9" s="23" t="n">
        <v>3</v>
      </c>
      <c r="F9" s="18" t="inlineStr">
        <is>
          <t>Not Applicable</t>
        </is>
      </c>
      <c r="G9" s="16" t="inlineStr">
        <is>
          <t>Not applicable – the documented upload scope does not include compressed archive handling.</t>
        </is>
      </c>
      <c r="H9" s="16" t="inlineStr">
        <is>
          <t>N/A – archive upload handling not in current system scope</t>
        </is>
      </c>
    </row>
    <row r="10" ht="45" customHeight="1" s="35">
      <c r="A10" s="19" t="inlineStr">
        <is>
          <t>V5.2</t>
        </is>
      </c>
      <c r="B10" s="19" t="inlineStr">
        <is>
          <t>File Upload and Content</t>
        </is>
      </c>
      <c r="C10" s="20" t="inlineStr">
        <is>
          <t>V5.2.6</t>
        </is>
      </c>
      <c r="D10" s="21" t="inlineStr">
        <is>
          <t>Verify that the application rejects uploaded images with a pixel size larger than the maximum allowed, to prevent pixel flood attacks.</t>
        </is>
      </c>
      <c r="E10" s="23" t="n">
        <v>3</v>
      </c>
      <c r="F10" s="18" t="inlineStr">
        <is>
          <t>Not Applicable</t>
        </is>
      </c>
      <c r="G10" s="21" t="inlineStr">
        <is>
          <t>Not applicable – the design does not include image-processing functionality requiring pixel flood controls.</t>
        </is>
      </c>
      <c r="H10" s="21" t="inlineStr">
        <is>
          <t>N/A – image processing not in current system scope</t>
        </is>
      </c>
    </row>
    <row r="11" ht="18" customHeight="1" s="35">
      <c r="A11" s="13" t="inlineStr">
        <is>
          <t>V5.3</t>
        </is>
      </c>
      <c r="B11" s="13" t="inlineStr">
        <is>
          <t>File Storage</t>
        </is>
      </c>
      <c r="C11" s="13" t="n"/>
      <c r="D11" s="13" t="n"/>
      <c r="E11" s="13" t="n"/>
      <c r="F11" s="13" t="n"/>
      <c r="G11" s="13" t="n"/>
      <c r="H11" s="13" t="n"/>
    </row>
    <row r="12" ht="90" customHeight="1" s="35">
      <c r="A12" s="14" t="inlineStr">
        <is>
          <t>V5.3</t>
        </is>
      </c>
      <c r="B12" s="14" t="inlineStr">
        <is>
          <t>File Storage</t>
        </is>
      </c>
      <c r="C12" s="15" t="inlineStr">
        <is>
          <t>V5.3.1</t>
        </is>
      </c>
      <c r="D12" s="16" t="inlineStr">
        <is>
          <t>Verify that files uploaded or generated by untrusted input and stored in a public folder, are not executed as server-side program code when accessed directly with an HTTP request.</t>
        </is>
      </c>
      <c r="E12" s="22" t="n">
        <v>1</v>
      </c>
      <c r="F12" s="18" t="inlineStr">
        <is>
          <t>Compliant</t>
        </is>
      </c>
      <c r="G12" s="16" t="inlineStr">
        <is>
          <t>Uploaded files are stored under the configured uploads directory, not under static/public resources, and are served only through controlled download endpoints.</t>
        </is>
      </c>
      <c r="H12" s="16" t="inlineStr">
        <is>
          <t>FileStorageService.java; ReportService.java; AnalystController.java; ReportControllerAttachmentUploadTest.allowedUploadPersistsAttachmentAndStoresUuidFileInsideBase</t>
        </is>
      </c>
    </row>
    <row r="13" ht="105" customHeight="1" s="35">
      <c r="A13" s="19" t="inlineStr">
        <is>
          <t>V5.3</t>
        </is>
      </c>
      <c r="B13" s="19" t="inlineStr">
        <is>
          <t>File Storage</t>
        </is>
      </c>
      <c r="C13" s="20" t="inlineStr">
        <is>
          <t>V5.3.2</t>
        </is>
      </c>
      <c r="D13" s="21"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22" t="n">
        <v>1</v>
      </c>
      <c r="F13" s="18" t="inlineStr">
        <is>
          <t>Compliant</t>
        </is>
      </c>
      <c r="G13" s="21" t="inlineStr">
        <is>
          <t>User filenames are validated and sanitized, stored filenames are UUID-based, and all stored paths are normalized and checked to remain inside trusted base directories with traversal tests.</t>
        </is>
      </c>
      <c r="H13" s="21" t="inlineStr">
        <is>
          <t>FileStorageService.java; SafeFilename.java; BackupService.java; CasePackageService.java; FileStorageServiceTest; SafeFilenameSecurityTest; ReportControllerAttachmentUploadTest.maliciousOriginalFilenameIsRejected</t>
        </is>
      </c>
    </row>
    <row r="14" ht="90" customHeight="1" s="35">
      <c r="A14" s="14" t="inlineStr">
        <is>
          <t>V5.3</t>
        </is>
      </c>
      <c r="B14" s="14" t="inlineStr">
        <is>
          <t>File Storage</t>
        </is>
      </c>
      <c r="C14" s="15" t="inlineStr">
        <is>
          <t>V5.3.3</t>
        </is>
      </c>
      <c r="D14" s="16" t="inlineStr">
        <is>
          <t>Verify that server-side file processing, such as file decompression, ignores user-provided path information to prevent vulnerabilities such as zip slip.</t>
        </is>
      </c>
      <c r="E14" s="23" t="n">
        <v>3</v>
      </c>
      <c r="F14" s="18" t="inlineStr">
        <is>
          <t>Compliant</t>
        </is>
      </c>
      <c r="G14" s="16" t="inlineStr">
        <is>
          <t>Backup ZIP entries are validated before writing and extraction, normalized output paths must remain under restore staging, and path traversal backup filenames are tested.</t>
        </is>
      </c>
      <c r="H14" s="16" t="inlineStr">
        <is>
          <t>BackupService.java; BackupServiceIntegrationTest.blocksPathTraversalInBackupFilename; AdminBackupControllerSecurityTest.pathTraversalInEndpointFilenameIsRejected</t>
        </is>
      </c>
    </row>
    <row r="15" ht="18" customHeight="1" s="35">
      <c r="A15" s="13" t="inlineStr">
        <is>
          <t>V5.4</t>
        </is>
      </c>
      <c r="B15" s="13" t="inlineStr">
        <is>
          <t>File Download</t>
        </is>
      </c>
      <c r="C15" s="13" t="n"/>
      <c r="D15" s="13" t="n"/>
      <c r="E15" s="13" t="n"/>
      <c r="F15" s="13" t="n"/>
      <c r="G15" s="13" t="n"/>
      <c r="H15" s="13" t="n"/>
    </row>
    <row r="16" ht="60" customHeight="1" s="35">
      <c r="A16" s="14" t="inlineStr">
        <is>
          <t>V5.4</t>
        </is>
      </c>
      <c r="B16" s="14" t="inlineStr">
        <is>
          <t>File Download</t>
        </is>
      </c>
      <c r="C16" s="15" t="inlineStr">
        <is>
          <t>V5.4.1</t>
        </is>
      </c>
      <c r="D16" s="16" t="inlineStr">
        <is>
          <t>Verify that the application validates or ignores user-submitted filenames, including in a JSON, JSONP, or URL parameter and specifies a filename in the Content-Disposition header field in the response.</t>
        </is>
      </c>
      <c r="E16" s="17" t="n">
        <v>2</v>
      </c>
      <c r="F16" s="18" t="inlineStr">
        <is>
          <t>Compliant</t>
        </is>
      </c>
      <c r="G16" s="16" t="inlineStr">
        <is>
          <t>User-submitted filenames are validated/sanitized for metadata, stored filenames are internally generated, and downloads use Content-Disposition attachment headers.</t>
        </is>
      </c>
      <c r="H16" s="16" t="inlineStr">
        <is>
          <t>FileStorageService.java; SafeFilename.java; ReportService.java; AdminBackupController.java; ReportControllerAttachmentUploadTest</t>
        </is>
      </c>
    </row>
    <row r="17" ht="60" customHeight="1" s="35">
      <c r="A17" s="19" t="inlineStr">
        <is>
          <t>V5.4</t>
        </is>
      </c>
      <c r="B17" s="19" t="inlineStr">
        <is>
          <t>File Download</t>
        </is>
      </c>
      <c r="C17" s="20" t="inlineStr">
        <is>
          <t>V5.4.2</t>
        </is>
      </c>
      <c r="D17" s="21" t="inlineStr">
        <is>
          <t>Verify that file names served (e.g., in HTTP response header fields or email attachments) are encoded or sanitized (e.g., following RFC 6266) to preserve document structure and prevent injection attacks.</t>
        </is>
      </c>
      <c r="E17" s="17" t="n">
        <v>2</v>
      </c>
      <c r="F17" s="18" t="inlineStr">
        <is>
          <t>Compliant</t>
        </is>
      </c>
      <c r="G17" s="21" t="inlineStr">
        <is>
          <t>Download filenames are emitted through Spring ContentDisposition with UTF-8 filename handling instead of manual header concatenation.</t>
        </is>
      </c>
      <c r="H17" s="21" t="inlineStr">
        <is>
          <t>ReportService.java; AdminBackupController.java</t>
        </is>
      </c>
    </row>
    <row r="18" ht="60" customHeight="1" s="35">
      <c r="A18" s="14" t="inlineStr">
        <is>
          <t>V5.4</t>
        </is>
      </c>
      <c r="B18" s="14" t="inlineStr">
        <is>
          <t>File Download</t>
        </is>
      </c>
      <c r="C18" s="15" t="inlineStr">
        <is>
          <t>V5.4.3</t>
        </is>
      </c>
      <c r="D18" s="16" t="inlineStr">
        <is>
          <t>Verify that files obtained from untrusted sources are scanned by antivirus scanners to prevent serving of known malicious content.</t>
        </is>
      </c>
      <c r="E18" s="17" t="n">
        <v>2</v>
      </c>
      <c r="F18" s="18" t="inlineStr">
        <is>
          <t>Compliant</t>
        </is>
      </c>
      <c r="G18" s="16" t="inlineStr">
        <is>
          <t>Uploads are scanned through the MalwareScanner interface; the local implementation detects EICAR, rejects/quarantines malicious uploads and records security alerts.</t>
        </is>
      </c>
      <c r="H18" s="16" t="inlineStr">
        <is>
          <t>LocalMalwareScanner.java; FileStorageService.java; FileStorageServiceTest; LocalMalwareScannerTest</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56"/>
  <sheetViews>
    <sheetView topLeftCell="A14" zoomScale="60" zoomScaleNormal="60" workbookViewId="0">
      <selection activeCell="G14" sqref="G14"/>
    </sheetView>
  </sheetViews>
  <sheetFormatPr baseColWidth="8" defaultColWidth="8.42578125" defaultRowHeight="15"/>
  <cols>
    <col width="12" customWidth="1" style="35" min="1" max="1"/>
    <col width="28" customWidth="1" style="35" min="2" max="2"/>
    <col width="12" customWidth="1" style="35" min="3" max="3"/>
    <col width="93" customWidth="1" style="35" min="4" max="4"/>
    <col width="8" customWidth="1" style="35" min="5" max="5"/>
    <col width="16" customWidth="1" style="35" min="6" max="6"/>
    <col width="48.42578125" customWidth="1" style="35" min="7"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V6.1</t>
        </is>
      </c>
      <c r="B2" s="13" t="inlineStr">
        <is>
          <t>Authentication Documentation</t>
        </is>
      </c>
      <c r="C2" s="13" t="n"/>
      <c r="D2" s="13" t="n"/>
      <c r="E2" s="13" t="n"/>
      <c r="F2" s="13" t="n"/>
      <c r="G2" s="13" t="n"/>
      <c r="H2" s="13" t="n"/>
    </row>
    <row r="3" ht="60" customHeight="1" s="35">
      <c r="A3" s="14" t="inlineStr">
        <is>
          <t>V6.1</t>
        </is>
      </c>
      <c r="B3" s="14" t="inlineStr">
        <is>
          <t>Authentication Documentation</t>
        </is>
      </c>
      <c r="C3" s="15" t="inlineStr">
        <is>
          <t>V6.1.1</t>
        </is>
      </c>
      <c r="D3" s="16"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22" t="n">
        <v>1</v>
      </c>
      <c r="F3" s="18" t="inlineStr">
        <is>
          <t>Compliant</t>
        </is>
      </c>
      <c r="G3" s="40" t="inlineStr">
        <is>
          <t>Authentication, MFA, brute-force/rate-limit evidence and account management behavior are documented for Sprint 2.</t>
        </is>
      </c>
      <c r="H3" s="40" t="inlineStr">
        <is>
          <t>PHASE2_SPRINT2_REPORT.md; SECURITY_TESTING.md; runtime-endpoints.md</t>
        </is>
      </c>
    </row>
    <row r="4" ht="45" customHeight="1" s="35">
      <c r="A4" s="19" t="inlineStr">
        <is>
          <t>V6.1</t>
        </is>
      </c>
      <c r="B4" s="19" t="inlineStr">
        <is>
          <t>Authentication Documentation</t>
        </is>
      </c>
      <c r="C4" s="20" t="inlineStr">
        <is>
          <t>V6.1.2</t>
        </is>
      </c>
      <c r="D4" s="21" t="inlineStr">
        <is>
          <t>Verify that a list of context-specific words is documented in order to prevent their use in passwords. The list could include permutations of organization names, product names, system identifiers, project codenames, department or role names, and similar.</t>
        </is>
      </c>
      <c r="E4" s="31" t="n">
        <v>2</v>
      </c>
      <c r="F4" s="18" t="inlineStr">
        <is>
          <t>Compliant</t>
        </is>
      </c>
      <c r="G4" s="41" t="inlineStr">
        <is>
          <t>Context-specific words are enforced in PasswordPolicyService using application/role terms and user username/email local-part checks.</t>
        </is>
      </c>
      <c r="H4" s="41" t="inlineStr">
        <is>
          <t>PasswordPolicyService.java; PasswordPolicyServiceTest</t>
        </is>
      </c>
    </row>
    <row r="5" ht="45" customHeight="1" s="35">
      <c r="A5" s="28" t="inlineStr">
        <is>
          <t>V6.1</t>
        </is>
      </c>
      <c r="B5" s="28" t="inlineStr">
        <is>
          <t>Authentication Documentation</t>
        </is>
      </c>
      <c r="C5" s="29" t="inlineStr">
        <is>
          <t>V6.1.3</t>
        </is>
      </c>
      <c r="D5" s="30" t="inlineStr">
        <is>
          <t>Verify that, if the application includes multiple authentication pathways, these are all documented together with the security controls and authentication strength which must be consistently enforced across them.</t>
        </is>
      </c>
      <c r="E5" s="31" t="n">
        <v>2</v>
      </c>
      <c r="F5" s="18" t="inlineStr">
        <is>
          <t>Not Applicable</t>
        </is>
      </c>
      <c r="G5" s="30" t="inlineStr">
        <is>
          <t>Only one authenticated pathway for internal users is defined in the design.</t>
        </is>
      </c>
      <c r="H5" s="30" t="inlineStr">
        <is>
          <t>DESOFS Phase 1: §2.1 Stakeholders; §6.1 RS2</t>
        </is>
      </c>
    </row>
    <row r="6" ht="18" customHeight="1" s="35">
      <c r="A6" s="13" t="inlineStr">
        <is>
          <t>V6.2</t>
        </is>
      </c>
      <c r="B6" s="13" t="inlineStr">
        <is>
          <t>Password Security</t>
        </is>
      </c>
      <c r="C6" s="13" t="n"/>
      <c r="D6" s="13" t="n"/>
      <c r="E6" s="13" t="n"/>
      <c r="F6" s="13" t="n"/>
      <c r="G6" s="13" t="n"/>
      <c r="H6" s="13" t="n"/>
    </row>
    <row r="7" ht="45" customHeight="1" s="35">
      <c r="A7" s="14" t="inlineStr">
        <is>
          <t>V6.2</t>
        </is>
      </c>
      <c r="B7" s="14" t="inlineStr">
        <is>
          <t>Password Security</t>
        </is>
      </c>
      <c r="C7" s="15" t="inlineStr">
        <is>
          <t>V6.2.1</t>
        </is>
      </c>
      <c r="D7" s="16" t="inlineStr">
        <is>
          <t>Verify that user set passwords are at least 8 characters in length although a minimum of 15 characters is strongly recommended.</t>
        </is>
      </c>
      <c r="E7" s="22" t="n">
        <v>1</v>
      </c>
      <c r="F7" s="18" t="inlineStr">
        <is>
          <t>Compliant</t>
        </is>
      </c>
      <c r="G7" s="16" t="inlineStr">
        <is>
          <t>Admin-created user passwords must be 12 to 128 characters, meeting the minimum 8-character ASVS requirement.</t>
        </is>
      </c>
      <c r="H7" s="16" t="inlineStr">
        <is>
          <t>CreateUserRequest.java; AdminController.java; UserService.java</t>
        </is>
      </c>
    </row>
    <row r="8" ht="45" customHeight="1" s="35">
      <c r="A8" s="19" t="inlineStr">
        <is>
          <t>V6.2</t>
        </is>
      </c>
      <c r="B8" s="19" t="inlineStr">
        <is>
          <t>Password Security</t>
        </is>
      </c>
      <c r="C8" s="20" t="inlineStr">
        <is>
          <t>V6.2.2</t>
        </is>
      </c>
      <c r="D8" s="21" t="inlineStr">
        <is>
          <t>Verify that users can change their password.</t>
        </is>
      </c>
      <c r="E8" s="22" t="n">
        <v>1</v>
      </c>
      <c r="F8" s="18" t="inlineStr">
        <is>
          <t>Compliant</t>
        </is>
      </c>
      <c r="G8" s="40" t="inlineStr">
        <is>
          <t>Password change endpoint exists and unauthenticated access is rejected in runtime evidence.</t>
        </is>
      </c>
      <c r="H8" s="40" t="inlineStr">
        <is>
          <t>AuthController.java; runtime-endpoints.md</t>
        </is>
      </c>
    </row>
    <row r="9" ht="45" customHeight="1" s="35">
      <c r="A9" s="14" t="inlineStr">
        <is>
          <t>V6.2</t>
        </is>
      </c>
      <c r="B9" s="14" t="inlineStr">
        <is>
          <t>Password Security</t>
        </is>
      </c>
      <c r="C9" s="15" t="inlineStr">
        <is>
          <t>V6.2.3</t>
        </is>
      </c>
      <c r="D9" s="16" t="inlineStr">
        <is>
          <t>Verify that password change functionality requires the user's current and new password.</t>
        </is>
      </c>
      <c r="E9" s="22" t="n">
        <v>1</v>
      </c>
      <c r="F9" s="18" t="inlineStr">
        <is>
          <t>Compliant</t>
        </is>
      </c>
      <c r="G9" s="40" t="inlineStr">
        <is>
          <t>Password change requires authenticated context and current/new password flow.</t>
        </is>
      </c>
      <c r="H9" s="40" t="inlineStr">
        <is>
          <t>AuthController.java; SECURITY_TESTING.md</t>
        </is>
      </c>
    </row>
    <row r="10" ht="45" customHeight="1" s="35">
      <c r="A10" s="19" t="inlineStr">
        <is>
          <t>V6.2</t>
        </is>
      </c>
      <c r="B10" s="19" t="inlineStr">
        <is>
          <t>Password Security</t>
        </is>
      </c>
      <c r="C10" s="20" t="inlineStr">
        <is>
          <t>V6.2.4</t>
        </is>
      </c>
      <c r="D10" s="21" t="inlineStr">
        <is>
          <t>Verify that passwords submitted during account registration or password change are checked against an available set of, at least, the top 3000 passwords which match the application's password policy, e.g. minimum length.</t>
        </is>
      </c>
      <c r="E10" s="22" t="n">
        <v>1</v>
      </c>
      <c r="F10" s="18" t="inlineStr">
        <is>
          <t>Compliant</t>
        </is>
      </c>
      <c r="G10" s="40" t="inlineStr">
        <is>
          <t>New passwords are checked against the local compromised/common password denylist in PasswordPolicyService and covered by tests.</t>
        </is>
      </c>
      <c r="H10" s="40" t="inlineStr">
        <is>
          <t>PasswordPolicyService.java; PasswordPolicyServiceTest</t>
        </is>
      </c>
    </row>
    <row r="11" ht="45" customHeight="1" s="35">
      <c r="A11" s="14" t="inlineStr">
        <is>
          <t>V6.2</t>
        </is>
      </c>
      <c r="B11" s="14" t="inlineStr">
        <is>
          <t>Password Security</t>
        </is>
      </c>
      <c r="C11" s="15" t="inlineStr">
        <is>
          <t>V6.2.5</t>
        </is>
      </c>
      <c r="D11" s="16" t="inlineStr">
        <is>
          <t>Verify that passwords of any composition can be used, without rules limiting the type of characters permitted. There must be no requirement for a minimum number of upper or lower case characters, numbers, or special characters.</t>
        </is>
      </c>
      <c r="E11" s="22" t="n">
        <v>1</v>
      </c>
      <c r="F11" s="18" t="inlineStr">
        <is>
          <t>Not Started</t>
        </is>
      </c>
      <c r="G11" s="16" t="inlineStr">
        <is>
          <t>Internal user authentication is in scope, but the password policy is not explicitly defined in the design.</t>
        </is>
      </c>
      <c r="H11" s="16" t="inlineStr">
        <is>
          <t>DESOFS Phase 1: §6.1 RS2; §6.3 RS12</t>
        </is>
      </c>
    </row>
    <row r="12" ht="30" customHeight="1" s="35">
      <c r="A12" s="19" t="inlineStr">
        <is>
          <t>V6.2</t>
        </is>
      </c>
      <c r="B12" s="19" t="inlineStr">
        <is>
          <t>Password Security</t>
        </is>
      </c>
      <c r="C12" s="20" t="inlineStr">
        <is>
          <t>V6.2.6</t>
        </is>
      </c>
      <c r="D12" s="21" t="inlineStr">
        <is>
          <t>Verify that password input fields use type=password to mask the entry. Applications may allow the user to temporarily view the entire masked password, or the last typed character of the password.</t>
        </is>
      </c>
      <c r="E12" s="22" t="n">
        <v>1</v>
      </c>
      <c r="F12" s="18" t="inlineStr">
        <is>
          <t>Compliant</t>
        </is>
      </c>
      <c r="G12" s="21" t="inlineStr">
        <is>
          <t>Frontend login and user creation forms use type=password for password fields.</t>
        </is>
      </c>
      <c r="H12" s="21" t="inlineStr">
        <is>
          <t>admin.html; analyst.html; auditor.html</t>
        </is>
      </c>
    </row>
    <row r="13" ht="45" customHeight="1" s="35">
      <c r="A13" s="14" t="inlineStr">
        <is>
          <t>V6.2</t>
        </is>
      </c>
      <c r="B13" s="14" t="inlineStr">
        <is>
          <t>Password Security</t>
        </is>
      </c>
      <c r="C13" s="15" t="inlineStr">
        <is>
          <t>V6.2.7</t>
        </is>
      </c>
      <c r="D13" s="16" t="inlineStr">
        <is>
          <t>Verify that "paste" functionality, browser password helpers, and external password managers are permitted.</t>
        </is>
      </c>
      <c r="E13" s="22" t="n">
        <v>1</v>
      </c>
      <c r="F13" s="18" t="inlineStr">
        <is>
          <t>Compliant</t>
        </is>
      </c>
      <c r="G13" s="16" t="inlineStr">
        <is>
          <t>Password fields do not block paste or password managers and include autocomplete hints for current/new passwords.</t>
        </is>
      </c>
      <c r="H13" s="16" t="inlineStr">
        <is>
          <t>admin.html; analyst.html; auditor.html</t>
        </is>
      </c>
    </row>
    <row r="14" ht="45" customHeight="1" s="35">
      <c r="A14" s="19" t="inlineStr">
        <is>
          <t>V6.2</t>
        </is>
      </c>
      <c r="B14" s="19" t="inlineStr">
        <is>
          <t>Password Security</t>
        </is>
      </c>
      <c r="C14" s="20" t="inlineStr">
        <is>
          <t>V6.2.8</t>
        </is>
      </c>
      <c r="D14" s="21" t="inlineStr">
        <is>
          <t>Verify that the application verifies the user's password exactly as received from the user, without any modifications such as truncation or case transformation.</t>
        </is>
      </c>
      <c r="E14" s="22" t="n">
        <v>1</v>
      </c>
      <c r="F14" s="18" t="inlineStr">
        <is>
          <t>Compliant</t>
        </is>
      </c>
      <c r="G14" s="21" t="inlineStr">
        <is>
          <t>Passwords are passed to Spring Security/BCrypt as received; no trimming, case conversion or truncation was found before verification or hashing.</t>
        </is>
      </c>
      <c r="H14" s="21" t="inlineStr">
        <is>
          <t>LoginRequest.java; AuthService.java; UserService.java; SecurityConfig.java</t>
        </is>
      </c>
    </row>
    <row r="15" ht="45" customHeight="1" s="35">
      <c r="A15" s="14" t="inlineStr">
        <is>
          <t>V6.2</t>
        </is>
      </c>
      <c r="B15" s="14" t="inlineStr">
        <is>
          <t>Password Security</t>
        </is>
      </c>
      <c r="C15" s="15" t="inlineStr">
        <is>
          <t>V6.2.9</t>
        </is>
      </c>
      <c r="D15" s="16" t="inlineStr">
        <is>
          <t>Verify that passwords of at least 64 characters are permitted.</t>
        </is>
      </c>
      <c r="E15" s="17" t="n">
        <v>2</v>
      </c>
      <c r="F15" s="18" t="inlineStr">
        <is>
          <t>Compliant</t>
        </is>
      </c>
      <c r="G15" s="21" t="inlineStr">
        <is>
          <t>Password creation permits up to 128 characters, allowing passwords of at least 64 characters.</t>
        </is>
      </c>
      <c r="H15" s="21" t="inlineStr">
        <is>
          <t>CreateUserRequest.java</t>
        </is>
      </c>
    </row>
    <row r="16" ht="45" customHeight="1" s="35">
      <c r="A16" s="19" t="inlineStr">
        <is>
          <t>V6.2</t>
        </is>
      </c>
      <c r="B16" s="19" t="inlineStr">
        <is>
          <t>Password Security</t>
        </is>
      </c>
      <c r="C16" s="20" t="inlineStr">
        <is>
          <t>V6.2.10</t>
        </is>
      </c>
      <c r="D16" s="21" t="inlineStr">
        <is>
          <t>Verify that a user's password stays valid until it is discovered to be compromised or the user rotates it. The application must not require periodic credential rotation.</t>
        </is>
      </c>
      <c r="E16" s="17" t="n">
        <v>2</v>
      </c>
      <c r="F16" s="18" t="inlineStr">
        <is>
          <t>Compliant</t>
        </is>
      </c>
      <c r="G16" s="21" t="inlineStr">
        <is>
          <t>The application does not force periodic password expiry; passwords change through user/admin reset/change flows or when policy validation rejects compromised/reused values.</t>
        </is>
      </c>
      <c r="H16" s="21" t="inlineStr">
        <is>
          <t>PasswordPolicyService.java; PasswordPolicyAndResetSecurityTest</t>
        </is>
      </c>
    </row>
    <row r="17" ht="45" customHeight="1" s="35">
      <c r="A17" s="14" t="inlineStr">
        <is>
          <t>V6.2</t>
        </is>
      </c>
      <c r="B17" s="14" t="inlineStr">
        <is>
          <t>Password Security</t>
        </is>
      </c>
      <c r="C17" s="15" t="inlineStr">
        <is>
          <t>V6.2.11</t>
        </is>
      </c>
      <c r="D17" s="16" t="inlineStr">
        <is>
          <t>Verify that the documented list of context specific words is used to prevent easy to guess passwords being created.</t>
        </is>
      </c>
      <c r="E17" s="17" t="n">
        <v>2</v>
      </c>
      <c r="F17" s="18" t="inlineStr">
        <is>
          <t>Compliant</t>
        </is>
      </c>
      <c r="G17" s="41" t="inlineStr">
        <is>
          <t>The documented context-specific words are actively enforced by PasswordPolicyService, including GhostReport role terms and user-specific values.</t>
        </is>
      </c>
      <c r="H17" s="41" t="inlineStr">
        <is>
          <t>PasswordPolicyService.java; PasswordPolicyServiceTest</t>
        </is>
      </c>
    </row>
    <row r="18" ht="45" customHeight="1" s="35">
      <c r="A18" s="19" t="inlineStr">
        <is>
          <t>V6.2</t>
        </is>
      </c>
      <c r="B18" s="19" t="inlineStr">
        <is>
          <t>Password Security</t>
        </is>
      </c>
      <c r="C18" s="20" t="inlineStr">
        <is>
          <t>V6.2.12</t>
        </is>
      </c>
      <c r="D18" s="21" t="inlineStr">
        <is>
          <t>Verify that passwords submitted during account registration or password changes are checked against a set of breached passwords.</t>
        </is>
      </c>
      <c r="E18" s="17" t="n">
        <v>2</v>
      </c>
      <c r="F18" s="18" t="inlineStr">
        <is>
          <t>Compliant</t>
        </is>
      </c>
      <c r="G18" s="21" t="inlineStr">
        <is>
          <t>Password changes and resets are checked against a compromised-password denylist plus reuse/context checks before the new password is accepted.</t>
        </is>
      </c>
      <c r="H18" s="21" t="inlineStr">
        <is>
          <t>PasswordPolicyService.java; PasswordPolicyServiceTest; PasswordPolicyAndResetSecurityTest</t>
        </is>
      </c>
    </row>
    <row r="19" ht="18" customHeight="1" s="35">
      <c r="A19" s="13" t="inlineStr">
        <is>
          <t>V6.3</t>
        </is>
      </c>
      <c r="B19" s="13" t="inlineStr">
        <is>
          <t>General Authentication Security</t>
        </is>
      </c>
      <c r="C19" s="13" t="n"/>
      <c r="D19" s="13" t="n"/>
      <c r="E19" s="13" t="n"/>
      <c r="F19" s="13" t="n"/>
      <c r="G19" s="13" t="n"/>
      <c r="H19" s="13" t="n"/>
    </row>
    <row r="20" ht="45" customHeight="1" s="35">
      <c r="A20" s="14" t="inlineStr">
        <is>
          <t>V6.3</t>
        </is>
      </c>
      <c r="B20" s="14" t="inlineStr">
        <is>
          <t>General Authentication Security</t>
        </is>
      </c>
      <c r="C20" s="15" t="inlineStr">
        <is>
          <t>V6.3.1</t>
        </is>
      </c>
      <c r="D20" s="16" t="inlineStr">
        <is>
          <t>Verify that controls to prevent attacks such as credential stuffing and password brute force are implemented according to the application's security documentation.</t>
        </is>
      </c>
      <c r="E20" s="22" t="n">
        <v>1</v>
      </c>
      <c r="F20" s="18" t="inlineStr">
        <is>
          <t>Compliant</t>
        </is>
      </c>
      <c r="G20" s="40" t="inlineStr">
        <is>
          <t>Multiple invalid login/MFA/tracking attempts are exercised and produce controlled responses.</t>
        </is>
      </c>
      <c r="H20" s="40" t="inlineStr">
        <is>
          <t>runtime-endpoints.md; SECURITY_TESTING.md</t>
        </is>
      </c>
    </row>
    <row r="21" ht="45" customHeight="1" s="35">
      <c r="A21" s="19" t="inlineStr">
        <is>
          <t>V6.3</t>
        </is>
      </c>
      <c r="B21" s="19" t="inlineStr">
        <is>
          <t>General Authentication Security</t>
        </is>
      </c>
      <c r="C21" s="20" t="inlineStr">
        <is>
          <t>V6.3.2</t>
        </is>
      </c>
      <c r="D21" s="21" t="inlineStr">
        <is>
          <t>Verify that default user accounts (e.g., "root", "admin", or "sa") are not present in the application or are disabled.</t>
        </is>
      </c>
      <c r="E21" s="22" t="n">
        <v>1</v>
      </c>
      <c r="F21" s="18" t="inlineStr">
        <is>
          <t>In Progress</t>
        </is>
      </c>
      <c r="G21" s="41" t="inlineStr">
        <is>
          <t>Seed/internal users exist for dev/test evidence; production deployment must replace/disable default credentials.</t>
        </is>
      </c>
      <c r="H21" s="41" t="inlineStr">
        <is>
          <t>data seed/config; SECURE_INSTALLATION.md</t>
        </is>
      </c>
    </row>
    <row r="22" ht="105" customHeight="1" s="35">
      <c r="A22" s="14" t="inlineStr">
        <is>
          <t>V6.3</t>
        </is>
      </c>
      <c r="B22" s="14" t="inlineStr">
        <is>
          <t>General Authentication Security</t>
        </is>
      </c>
      <c r="C22" s="15" t="inlineStr">
        <is>
          <t>V6.3.3</t>
        </is>
      </c>
      <c r="D22" s="16"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17" t="n">
        <v>2</v>
      </c>
      <c r="F22" s="18" t="inlineStr">
        <is>
          <t>Compliant</t>
        </is>
      </c>
      <c r="G22" s="40" t="inlineStr">
        <is>
          <t>MFA is implemented for internal roles ADMIN, ANALYST and AUDITOR before final JWT issuance.</t>
        </is>
      </c>
      <c r="H22" s="40" t="inlineStr">
        <is>
          <t>MfaService.java; AuthController.java; runtime-endpoints.md</t>
        </is>
      </c>
    </row>
    <row r="23" ht="45" customHeight="1" s="35">
      <c r="A23" s="19" t="inlineStr">
        <is>
          <t>V6.3</t>
        </is>
      </c>
      <c r="B23" s="19" t="inlineStr">
        <is>
          <t>General Authentication Security</t>
        </is>
      </c>
      <c r="C23" s="20" t="inlineStr">
        <is>
          <t>V6.3.4</t>
        </is>
      </c>
      <c r="D23" s="21" t="inlineStr">
        <is>
          <t>Verify that, if the application includes multiple authentication pathways, there are no undocumented pathways and that security controls and authentication strength are enforced consistently.</t>
        </is>
      </c>
      <c r="E23" s="17" t="n">
        <v>2</v>
      </c>
      <c r="F23" s="18" t="inlineStr">
        <is>
          <t>Not Applicable</t>
        </is>
      </c>
      <c r="G23" s="21" t="inlineStr">
        <is>
          <t>Only one authenticated pathway for staff users is defined in the design.</t>
        </is>
      </c>
      <c r="H23" s="21" t="inlineStr">
        <is>
          <t>DESOFS Phase 1: §6.1 RS2</t>
        </is>
      </c>
    </row>
    <row r="24" ht="60" customHeight="1" s="35">
      <c r="A24" s="14" t="inlineStr">
        <is>
          <t>V6.3</t>
        </is>
      </c>
      <c r="B24" s="14" t="inlineStr">
        <is>
          <t>General Authentication Security</t>
        </is>
      </c>
      <c r="C24" s="15" t="inlineStr">
        <is>
          <t>V6.3.5</t>
        </is>
      </c>
      <c r="D24" s="16"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23" t="n">
        <v>3</v>
      </c>
      <c r="F24" s="18" t="inlineStr">
        <is>
          <t>In Progress</t>
        </is>
      </c>
      <c r="G24" s="40" t="inlineStr">
        <is>
          <t>Security alerts/audit events exist, but full user notification workflow is not implemented as a production service.</t>
        </is>
      </c>
      <c r="H24" s="40" t="inlineStr">
        <is>
          <t>SecurityAlertService.java; AuditLogService.java</t>
        </is>
      </c>
    </row>
    <row r="25" ht="45" customHeight="1" s="35">
      <c r="A25" s="19" t="inlineStr">
        <is>
          <t>V6.3</t>
        </is>
      </c>
      <c r="B25" s="19" t="inlineStr">
        <is>
          <t>General Authentication Security</t>
        </is>
      </c>
      <c r="C25" s="20" t="inlineStr">
        <is>
          <t>V6.3.6</t>
        </is>
      </c>
      <c r="D25" s="21" t="inlineStr">
        <is>
          <t>Verify that email is not used as either a single-factor or multi-factor authentication mechanism.</t>
        </is>
      </c>
      <c r="E25" s="23" t="n">
        <v>3</v>
      </c>
      <c r="F25" s="18" t="inlineStr">
        <is>
          <t>Compliant</t>
        </is>
      </c>
      <c r="G25" s="21" t="inlineStr">
        <is>
          <t>Email addresses are stored for users but are not used as an authentication factor; authentication uses username/password and JWT.</t>
        </is>
      </c>
      <c r="H25" s="21" t="inlineStr">
        <is>
          <t>User.java; LoginRequest.java; AuthService.java; CustomUserDetailsService.java</t>
        </is>
      </c>
    </row>
    <row r="26" ht="45" customHeight="1" s="35">
      <c r="A26" s="14" t="inlineStr">
        <is>
          <t>V6.3</t>
        </is>
      </c>
      <c r="B26" s="14" t="inlineStr">
        <is>
          <t>General Authentication Security</t>
        </is>
      </c>
      <c r="C26" s="15" t="inlineStr">
        <is>
          <t>V6.3.7</t>
        </is>
      </c>
      <c r="D26" s="16" t="inlineStr">
        <is>
          <t>Verify that users are notified after updates to authentication details, such as credential resets or modification of the username or email address.</t>
        </is>
      </c>
      <c r="E26" s="23" t="n">
        <v>3</v>
      </c>
      <c r="F26" s="18" t="inlineStr">
        <is>
          <t>Not Started</t>
        </is>
      </c>
      <c r="G26" s="16" t="inlineStr">
        <is>
          <t>Advanced authentication notification/anti-enumeration controls are relevant but not yet specified.</t>
        </is>
      </c>
      <c r="H26" s="16" t="inlineStr">
        <is>
          <t>DESOFS Phase 1: §5.1 RS1-RS3; AC5/AC8/AC11; STRIDE P5/P6; §12 tests</t>
        </is>
      </c>
    </row>
    <row r="27" ht="45" customHeight="1" s="35">
      <c r="A27" s="19" t="inlineStr">
        <is>
          <t>V6.3</t>
        </is>
      </c>
      <c r="B27" s="19" t="inlineStr">
        <is>
          <t>General Authentication Security</t>
        </is>
      </c>
      <c r="C27" s="20" t="inlineStr">
        <is>
          <t>V6.3.8</t>
        </is>
      </c>
      <c r="D27" s="21" t="inlineStr">
        <is>
          <t>Verify that valid users cannot be deduced from failed authentication challenges, such as by basing on error messages, HTTP response codes, or different response times. Registration and forgot password functionality must also have this protection.</t>
        </is>
      </c>
      <c r="E27" s="23" t="n">
        <v>3</v>
      </c>
      <c r="F27" s="18" t="inlineStr">
        <is>
          <t>Compliant</t>
        </is>
      </c>
      <c r="G27" s="41" t="inlineStr">
        <is>
          <t>Authentication and password-reset responses are generic enough to avoid user enumeration in tested flows.</t>
        </is>
      </c>
      <c r="H27" s="41" t="inlineStr">
        <is>
          <t>AuthController.java; runtime-endpoints.md</t>
        </is>
      </c>
    </row>
    <row r="28" ht="18" customHeight="1" s="35">
      <c r="A28" s="13" t="inlineStr">
        <is>
          <t>V6.4</t>
        </is>
      </c>
      <c r="B28" s="13" t="inlineStr">
        <is>
          <t>Authentication Factor Lifecycle and Recovery</t>
        </is>
      </c>
      <c r="C28" s="13" t="n"/>
      <c r="D28" s="13" t="n"/>
      <c r="E28" s="13" t="n"/>
      <c r="F28" s="13" t="n"/>
      <c r="G28" s="13" t="n"/>
      <c r="H28" s="13" t="n"/>
    </row>
    <row r="29" ht="63" customHeight="1" s="35">
      <c r="A29" s="14" t="inlineStr">
        <is>
          <t>V6.4</t>
        </is>
      </c>
      <c r="B29" s="14" t="inlineStr">
        <is>
          <t>Authentication Factor Lifecycle and Recovery</t>
        </is>
      </c>
      <c r="C29" s="15" t="inlineStr">
        <is>
          <t>V6.4.1</t>
        </is>
      </c>
      <c r="D29" s="16"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22" t="n">
        <v>1</v>
      </c>
      <c r="F29" s="18" t="inlineStr">
        <is>
          <t>Not Applicable</t>
        </is>
      </c>
      <c r="G29" s="16" t="inlineStr">
        <is>
          <t>System-generated initial passwords or activation codes are not implemented; admins currently submit a chosen password when creating users.</t>
        </is>
      </c>
      <c r="H29" s="16" t="inlineStr">
        <is>
          <t>AdminController.java; CreateUserRequest.java; UserService.java</t>
        </is>
      </c>
    </row>
    <row r="30" ht="30" customHeight="1" s="35">
      <c r="A30" s="19" t="inlineStr">
        <is>
          <t>V6.4</t>
        </is>
      </c>
      <c r="B30" s="19" t="inlineStr">
        <is>
          <t>Authentication Factor Lifecycle and Recovery</t>
        </is>
      </c>
      <c r="C30" s="20" t="inlineStr">
        <is>
          <t>V6.4.2</t>
        </is>
      </c>
      <c r="D30" s="21" t="inlineStr">
        <is>
          <t>Verify that password hints or knowledge-based authentication (so-called "secret questions") are not present.</t>
        </is>
      </c>
      <c r="E30" s="22" t="n">
        <v>1</v>
      </c>
      <c r="F30" s="18" t="inlineStr">
        <is>
          <t>Not Applicable</t>
        </is>
      </c>
      <c r="G30" s="21" t="inlineStr">
        <is>
          <t>Password hints and security questions are not part of the authentication design.</t>
        </is>
      </c>
      <c r="H30" s="21" t="inlineStr">
        <is>
          <t>DESOFS Phase 1: §6.1 RS2-RS3</t>
        </is>
      </c>
    </row>
    <row r="31" ht="30" customHeight="1" s="35">
      <c r="A31" s="14" t="inlineStr">
        <is>
          <t>V6.4</t>
        </is>
      </c>
      <c r="B31" s="14" t="inlineStr">
        <is>
          <t>Authentication Factor Lifecycle and Recovery</t>
        </is>
      </c>
      <c r="C31" s="15" t="inlineStr">
        <is>
          <t>V6.4.3</t>
        </is>
      </c>
      <c r="D31" s="16" t="inlineStr">
        <is>
          <t>Verify that a secure process for resetting a forgotten password is implemented, that does not bypass any enabled multi-factor authentication mechanisms.</t>
        </is>
      </c>
      <c r="E31" s="17" t="n">
        <v>2</v>
      </c>
      <c r="F31" s="18" t="inlineStr">
        <is>
          <t>Compliant</t>
        </is>
      </c>
      <c r="G31" s="40" t="inlineStr">
        <is>
          <t>Password reset request/confirm endpoints are implemented with generic request behavior.</t>
        </is>
      </c>
      <c r="H31" s="40" t="inlineStr">
        <is>
          <t>AuthController.java; runtime-endpoints.md</t>
        </is>
      </c>
    </row>
    <row r="32" ht="30" customHeight="1" s="35">
      <c r="A32" s="19" t="inlineStr">
        <is>
          <t>V6.4</t>
        </is>
      </c>
      <c r="B32" s="19" t="inlineStr">
        <is>
          <t>Authentication Factor Lifecycle and Recovery</t>
        </is>
      </c>
      <c r="C32" s="20" t="inlineStr">
        <is>
          <t>V6.4.4</t>
        </is>
      </c>
      <c r="D32" s="21" t="inlineStr">
        <is>
          <t>Verify that if a multi-factor authentication factor is lost, evidence of identity proofing is performed at the same level as during enrollment.</t>
        </is>
      </c>
      <c r="E32" s="17" t="n">
        <v>2</v>
      </c>
      <c r="F32" s="18" t="inlineStr">
        <is>
          <t>Not Applicable</t>
        </is>
      </c>
      <c r="G32" s="21" t="inlineStr">
        <is>
          <t>MFA recovery is not applicable because MFA is not defined in the current design.</t>
        </is>
      </c>
      <c r="H32" s="21" t="inlineStr">
        <is>
          <t>DESOFS Phase 1: §6.1 RS2-RS3</t>
        </is>
      </c>
    </row>
    <row r="33" ht="45" customHeight="1" s="35">
      <c r="A33" s="14" t="inlineStr">
        <is>
          <t>V6.4</t>
        </is>
      </c>
      <c r="B33" s="14" t="inlineStr">
        <is>
          <t>Authentication Factor Lifecycle and Recovery</t>
        </is>
      </c>
      <c r="C33" s="15" t="inlineStr">
        <is>
          <t>V6.4.5</t>
        </is>
      </c>
      <c r="D33" s="16" t="inlineStr">
        <is>
          <t>Verify that renewal instructions for authentication mechanisms which expire are sent with enough time to be carried out before the old authentication mechanism expires, configuring automated reminders if necessary.</t>
        </is>
      </c>
      <c r="E33" s="23" t="n">
        <v>3</v>
      </c>
      <c r="F33" s="18" t="inlineStr">
        <is>
          <t>Not Applicable</t>
        </is>
      </c>
      <c r="G33" s="16" t="inlineStr">
        <is>
          <t>MFA recovery is not applicable because MFA is not defined in the current design.</t>
        </is>
      </c>
      <c r="H33" s="16" t="inlineStr">
        <is>
          <t>DESOFS Phase 1: §5.1 RS1-RS3; AC5/AC8/AC11; STRIDE P5/P6; §12 tests</t>
        </is>
      </c>
    </row>
    <row r="34" ht="45" customHeight="1" s="35">
      <c r="A34" s="19" t="inlineStr">
        <is>
          <t>V6.4</t>
        </is>
      </c>
      <c r="B34" s="19" t="inlineStr">
        <is>
          <t>Authentication Factor Lifecycle and Recovery</t>
        </is>
      </c>
      <c r="C34" s="20" t="inlineStr">
        <is>
          <t>V6.4.6</t>
        </is>
      </c>
      <c r="D34" s="21" t="inlineStr">
        <is>
          <t>Verify that administrative users can initiate the password reset process for the user, but that this does not allow them to change or choose the user's password. This prevents a situation where they know the user's password.</t>
        </is>
      </c>
      <c r="E34" s="23" t="n">
        <v>3</v>
      </c>
      <c r="F34" s="18" t="inlineStr">
        <is>
          <t>Not Started</t>
        </is>
      </c>
      <c r="G34" s="21" t="inlineStr">
        <is>
          <t>Recovery/reset processes for internal users are possible but not yet specified in detail.</t>
        </is>
      </c>
      <c r="H34" s="21" t="inlineStr">
        <is>
          <t>DESOFS Phase 1: §5.1 RS1-RS3; AC5/AC8/AC11; STRIDE P5/P6; §12 tests</t>
        </is>
      </c>
    </row>
    <row r="35" ht="18" customHeight="1" s="35">
      <c r="A35" s="13" t="inlineStr">
        <is>
          <t>V6.5</t>
        </is>
      </c>
      <c r="B35" s="13" t="inlineStr">
        <is>
          <t>General Multi-factor authentication requirements</t>
        </is>
      </c>
      <c r="C35" s="13" t="n"/>
      <c r="D35" s="13" t="n"/>
      <c r="E35" s="13" t="n"/>
      <c r="F35" s="13" t="n"/>
      <c r="G35" s="13" t="n"/>
      <c r="H35" s="13" t="n"/>
    </row>
    <row r="36" ht="30" customHeight="1" s="35">
      <c r="A36" s="14" t="inlineStr">
        <is>
          <t>V6.5</t>
        </is>
      </c>
      <c r="B36" s="14" t="inlineStr">
        <is>
          <t>General Multi-factor authentication requirements</t>
        </is>
      </c>
      <c r="C36" s="15" t="inlineStr">
        <is>
          <t>V6.5.1</t>
        </is>
      </c>
      <c r="D36" s="16" t="inlineStr">
        <is>
          <t>Verify that lookup secrets, out-of-band authentication requests or codes, and time-based one-time passwords (TOTPs) are only successfully usable once.</t>
        </is>
      </c>
      <c r="E36" s="17" t="n">
        <v>2</v>
      </c>
      <c r="F36" s="18" t="inlineStr">
        <is>
          <t>Compliant</t>
        </is>
      </c>
      <c r="G36" s="16" t="inlineStr">
        <is>
          <t>MFA codes are one-time: successful verification removes the challenge, expired challenges are removed, and reuse is rejected.</t>
        </is>
      </c>
      <c r="H36" s="16" t="inlineStr">
        <is>
          <t>MfaChallengeService.java; AdminMfaAuthenticationTest</t>
        </is>
      </c>
    </row>
    <row r="37" ht="60" customHeight="1" s="35">
      <c r="A37" s="19" t="inlineStr">
        <is>
          <t>V6.5</t>
        </is>
      </c>
      <c r="B37" s="19" t="inlineStr">
        <is>
          <t>General Multi-factor authentication requirements</t>
        </is>
      </c>
      <c r="C37" s="20" t="inlineStr">
        <is>
          <t>V6.5.2</t>
        </is>
      </c>
      <c r="D37" s="21"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17" t="n">
        <v>2</v>
      </c>
      <c r="F37" s="18" t="inlineStr">
        <is>
          <t>Compliant</t>
        </is>
      </c>
      <c r="G37" s="21" t="inlineStr">
        <is>
          <t>Short MFA lookup codes are stored only as BCrypt hashes bound to the challenge id; plaintext exposure is limited to dev/test when explicitly enabled.</t>
        </is>
      </c>
      <c r="H37" s="21" t="inlineStr">
        <is>
          <t>MfaChallengeService.java; application-prod.yaml; AdminMfaAuthenticationTest</t>
        </is>
      </c>
    </row>
    <row r="38" ht="45" customHeight="1" s="35">
      <c r="A38" s="14" t="inlineStr">
        <is>
          <t>V6.5</t>
        </is>
      </c>
      <c r="B38" s="14" t="inlineStr">
        <is>
          <t>General Multi-factor authentication requirements</t>
        </is>
      </c>
      <c r="C38" s="15" t="inlineStr">
        <is>
          <t>V6.5.3</t>
        </is>
      </c>
      <c r="D38" s="16" t="inlineStr">
        <is>
          <t>Verify that lookup secrets, out-of-band authentication code, and time-based one-time password seeds, are generated using a Cryptographically Secure Pseudorandom Number Generator (CSPRNG) to avoid predictable values.</t>
        </is>
      </c>
      <c r="E38" s="17" t="n">
        <v>2</v>
      </c>
      <c r="F38" s="18" t="inlineStr">
        <is>
          <t>Compliant</t>
        </is>
      </c>
      <c r="G38" s="16" t="inlineStr">
        <is>
          <t>MFA codes are generated with SecureRandom, have a configurable TTL and are invalidated after too many wrong attempts.</t>
        </is>
      </c>
      <c r="H38" s="16" t="inlineStr">
        <is>
          <t>MfaChallengeService.java; MfaProperties.java; AdminMfaAuthenticationTest</t>
        </is>
      </c>
    </row>
    <row r="39" ht="30" customHeight="1" s="35">
      <c r="A39" s="19" t="inlineStr">
        <is>
          <t>V6.5</t>
        </is>
      </c>
      <c r="B39" s="19" t="inlineStr">
        <is>
          <t>General Multi-factor authentication requirements</t>
        </is>
      </c>
      <c r="C39" s="20" t="inlineStr">
        <is>
          <t>V6.5.4</t>
        </is>
      </c>
      <c r="D39" s="21" t="inlineStr">
        <is>
          <t>Verify that lookup secrets and out-of-band authentication codes have a minimum of 20 bits of entropy (typically 4 random alphanumeric characters or 6 random digits is sufficient).</t>
        </is>
      </c>
      <c r="E39" s="17" t="n">
        <v>2</v>
      </c>
      <c r="F39" s="18" t="inlineStr">
        <is>
          <t>Compliant</t>
        </is>
      </c>
      <c r="G39" s="41" t="inlineStr">
        <is>
          <t>MFA development/test codes are short-lived numeric challenges; production delivery channel remains configurable.</t>
        </is>
      </c>
      <c r="H39" s="41" t="inlineStr">
        <is>
          <t>MfaService.java; application-test.properties</t>
        </is>
      </c>
    </row>
    <row r="40" ht="45" customHeight="1" s="35">
      <c r="A40" s="14" t="inlineStr">
        <is>
          <t>V6.5</t>
        </is>
      </c>
      <c r="B40" s="14" t="inlineStr">
        <is>
          <t>General Multi-factor authentication requirements</t>
        </is>
      </c>
      <c r="C40" s="15" t="inlineStr">
        <is>
          <t>V6.5.5</t>
        </is>
      </c>
      <c r="D40" s="16" t="inlineStr">
        <is>
          <t>Verify that out-of-band authentication requests, codes, or tokens, as well as time-based one-time passwords (TOTPs) have a defined lifetime. Out of band requests must have a maximum lifetime of 10 minutes and for TOTP a maximum lifetime of 30 seconds.</t>
        </is>
      </c>
      <c r="E40" s="17" t="n">
        <v>2</v>
      </c>
      <c r="F40" s="18" t="inlineStr">
        <is>
          <t>Compliant</t>
        </is>
      </c>
      <c r="G40" s="40" t="inlineStr">
        <is>
          <t>MFA invalid, valid and reuse behavior is exercised by the runtime probe.</t>
        </is>
      </c>
      <c r="H40" s="40" t="inlineStr">
        <is>
          <t>runtime-endpoints.md; runtime-probe-summary.json</t>
        </is>
      </c>
    </row>
    <row r="41" ht="30" customHeight="1" s="35">
      <c r="A41" s="19" t="inlineStr">
        <is>
          <t>V6.5</t>
        </is>
      </c>
      <c r="B41" s="19" t="inlineStr">
        <is>
          <t>General Multi-factor authentication requirements</t>
        </is>
      </c>
      <c r="C41" s="20" t="inlineStr">
        <is>
          <t>V6.5.6</t>
        </is>
      </c>
      <c r="D41" s="21" t="inlineStr">
        <is>
          <t>Verify that any authentication factor (including physical devices) can be revoked in case of theft or other loss.</t>
        </is>
      </c>
      <c r="E41" s="23" t="n">
        <v>3</v>
      </c>
      <c r="F41" s="18" t="inlineStr">
        <is>
          <t>Not Applicable</t>
        </is>
      </c>
      <c r="G41" s="21" t="inlineStr">
        <is>
          <t>Not applicable – the current authentication design does not include MFA, out-of-band methods, cryptographic assertions, or external identity providers.</t>
        </is>
      </c>
      <c r="H41" s="21" t="inlineStr">
        <is>
          <t>N/A – not in current authentication scope</t>
        </is>
      </c>
    </row>
    <row r="42" ht="30" customHeight="1" s="35">
      <c r="A42" s="14" t="inlineStr">
        <is>
          <t>V6.5</t>
        </is>
      </c>
      <c r="B42" s="14" t="inlineStr">
        <is>
          <t>General Multi-factor authentication requirements</t>
        </is>
      </c>
      <c r="C42" s="15" t="inlineStr">
        <is>
          <t>V6.5.7</t>
        </is>
      </c>
      <c r="D42" s="16" t="inlineStr">
        <is>
          <t>Verify that biometric authentication mechanisms are only used as secondary factors together with either something you have or something you know.</t>
        </is>
      </c>
      <c r="E42" s="23" t="n">
        <v>3</v>
      </c>
      <c r="F42" s="18" t="inlineStr">
        <is>
          <t>Not Applicable</t>
        </is>
      </c>
      <c r="G42" s="16" t="inlineStr">
        <is>
          <t>Not applicable – the current authentication design does not include MFA, out-of-band methods, cryptographic assertions, or external identity providers.</t>
        </is>
      </c>
      <c r="H42" s="16" t="inlineStr">
        <is>
          <t>N/A – not in current authentication scope</t>
        </is>
      </c>
    </row>
    <row r="43" ht="30" customHeight="1" s="35">
      <c r="A43" s="19" t="inlineStr">
        <is>
          <t>V6.5</t>
        </is>
      </c>
      <c r="B43" s="19" t="inlineStr">
        <is>
          <t>General Multi-factor authentication requirements</t>
        </is>
      </c>
      <c r="C43" s="20" t="inlineStr">
        <is>
          <t>V6.5.8</t>
        </is>
      </c>
      <c r="D43" s="21" t="inlineStr">
        <is>
          <t>Verify that time-based one-time passwords (TOTPs) are checked based on a time source from a trusted service and not from an untrusted or client provided time.</t>
        </is>
      </c>
      <c r="E43" s="23" t="n">
        <v>3</v>
      </c>
      <c r="F43" s="18" t="inlineStr">
        <is>
          <t>Not Applicable</t>
        </is>
      </c>
      <c r="G43" s="21" t="inlineStr">
        <is>
          <t>Not applicable – the current authentication design does not include MFA, out-of-band methods, cryptographic assertions, or external identity providers.</t>
        </is>
      </c>
      <c r="H43" s="21" t="inlineStr">
        <is>
          <t>N/A – not in current authentication scope</t>
        </is>
      </c>
    </row>
    <row r="44" ht="18" customHeight="1" s="35">
      <c r="A44" s="13" t="inlineStr">
        <is>
          <t>V6.6</t>
        </is>
      </c>
      <c r="B44" s="13" t="inlineStr">
        <is>
          <t>Out-of-Band authentication mechanisms</t>
        </is>
      </c>
      <c r="C44" s="13" t="n"/>
      <c r="D44" s="13" t="n"/>
      <c r="E44" s="13" t="n"/>
      <c r="F44" s="13" t="n"/>
      <c r="G44" s="13" t="n"/>
      <c r="H44" s="13" t="n"/>
    </row>
    <row r="45" ht="75" customHeight="1" s="35">
      <c r="A45" s="14" t="inlineStr">
        <is>
          <t>V6.6</t>
        </is>
      </c>
      <c r="B45" s="14" t="inlineStr">
        <is>
          <t>Out-of-Band authentication mechanisms</t>
        </is>
      </c>
      <c r="C45" s="15" t="inlineStr">
        <is>
          <t>V6.6.1</t>
        </is>
      </c>
      <c r="D45" s="16"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17" t="n">
        <v>2</v>
      </c>
      <c r="F45" s="18" t="inlineStr">
        <is>
          <t>Not Applicable</t>
        </is>
      </c>
      <c r="G45" s="16" t="inlineStr">
        <is>
          <t>Not applicable – the current authentication design does not include MFA, out-of-band methods, cryptographic assertions, or external identity providers.</t>
        </is>
      </c>
      <c r="H45" s="16" t="inlineStr">
        <is>
          <t>N/A – not in current authentication scope</t>
        </is>
      </c>
    </row>
    <row r="46" ht="45" customHeight="1" s="35">
      <c r="A46" s="19" t="inlineStr">
        <is>
          <t>V6.6</t>
        </is>
      </c>
      <c r="B46" s="19" t="inlineStr">
        <is>
          <t>Out-of-Band authentication mechanisms</t>
        </is>
      </c>
      <c r="C46" s="20" t="inlineStr">
        <is>
          <t>V6.6.2</t>
        </is>
      </c>
      <c r="D46" s="21" t="inlineStr">
        <is>
          <t>Verify that out-of-band authentication requests, codes, or tokens are bound to the original authentication request for which they were generated and are not usable for a previous or subsequent one.</t>
        </is>
      </c>
      <c r="E46" s="17" t="n">
        <v>2</v>
      </c>
      <c r="F46" s="18" t="inlineStr">
        <is>
          <t>Compliant</t>
        </is>
      </c>
      <c r="G46" s="21" t="inlineStr">
        <is>
          <t>MFA verification is bound to the original challenge id and user; the hash input includes challenge id plus code and returns the stored username only after successful verification.</t>
        </is>
      </c>
      <c r="H46" s="21" t="inlineStr">
        <is>
          <t>MfaChallengeService.java; AuthService.java; AdminMfaAuthenticationTest</t>
        </is>
      </c>
    </row>
    <row r="47" ht="30" customHeight="1" s="35">
      <c r="A47" s="14" t="inlineStr">
        <is>
          <t>V6.6</t>
        </is>
      </c>
      <c r="B47" s="14" t="inlineStr">
        <is>
          <t>Out-of-Band authentication mechanisms</t>
        </is>
      </c>
      <c r="C47" s="15" t="inlineStr">
        <is>
          <t>V6.6.3</t>
        </is>
      </c>
      <c r="D47" s="16" t="inlineStr">
        <is>
          <t>Verify that a code based out-of-band authentication mechanism is protected against brute force attacks by using rate limiting. Consider also using a code with at least 64 bits of entropy.</t>
        </is>
      </c>
      <c r="E47" s="17" t="n">
        <v>2</v>
      </c>
      <c r="F47" s="18" t="inlineStr">
        <is>
          <t>Compliant</t>
        </is>
      </c>
      <c r="G47" s="40" t="inlineStr">
        <is>
          <t>MFA challenges track invalid code attempts and are invalidated after the configured maximum attempts; audit event MFA_VERIFY_LOCKED is emitted.</t>
        </is>
      </c>
      <c r="H47" s="40" t="inlineStr">
        <is>
          <t>MfaProperties.java; MfaChallengeService.java; AdminMfaAuthenticationTest</t>
        </is>
      </c>
    </row>
    <row r="48" ht="30" customHeight="1" s="35">
      <c r="A48" s="19" t="inlineStr">
        <is>
          <t>V6.6</t>
        </is>
      </c>
      <c r="B48" s="19" t="inlineStr">
        <is>
          <t>Out-of-Band authentication mechanisms</t>
        </is>
      </c>
      <c r="C48" s="20" t="inlineStr">
        <is>
          <t>V6.6.4</t>
        </is>
      </c>
      <c r="D48" s="21" t="inlineStr">
        <is>
          <t>Verify that, where push notifications are used for multi-factor authentication, rate limiting is used to prevent push bombing attacks. Number matching may also mitigate this risk.</t>
        </is>
      </c>
      <c r="E48" s="23" t="n">
        <v>3</v>
      </c>
      <c r="F48" s="18" t="inlineStr">
        <is>
          <t>Not Applicable</t>
        </is>
      </c>
      <c r="G48" s="21" t="inlineStr">
        <is>
          <t>Not applicable – the current authentication design does not include MFA, out-of-band methods, cryptographic assertions, or external identity providers.</t>
        </is>
      </c>
      <c r="H48" s="21" t="inlineStr">
        <is>
          <t>N/A – not in current authentication scope</t>
        </is>
      </c>
    </row>
    <row r="49" ht="18" customHeight="1" s="35">
      <c r="A49" s="13" t="inlineStr">
        <is>
          <t>V6.7</t>
        </is>
      </c>
      <c r="B49" s="13" t="inlineStr">
        <is>
          <t>Cryptographic authentication mechanism</t>
        </is>
      </c>
      <c r="C49" s="13" t="n"/>
      <c r="D49" s="13" t="n"/>
      <c r="E49" s="13" t="n"/>
      <c r="F49" s="13" t="n"/>
      <c r="G49" s="13" t="n"/>
      <c r="H49" s="13" t="n"/>
    </row>
    <row r="50" ht="30" customHeight="1" s="35">
      <c r="A50" s="14" t="inlineStr">
        <is>
          <t>V6.7</t>
        </is>
      </c>
      <c r="B50" s="14" t="inlineStr">
        <is>
          <t>Cryptographic authentication mechanism</t>
        </is>
      </c>
      <c r="C50" s="15" t="inlineStr">
        <is>
          <t>V6.7.1</t>
        </is>
      </c>
      <c r="D50" s="16" t="inlineStr">
        <is>
          <t>Verify that the certificates used to verify cryptographic authentication assertions are stored in a way protects them from modification.</t>
        </is>
      </c>
      <c r="E50" s="23" t="n">
        <v>3</v>
      </c>
      <c r="F50" s="18" t="inlineStr">
        <is>
          <t>Not Applicable</t>
        </is>
      </c>
      <c r="G50" s="16" t="inlineStr">
        <is>
          <t>Not applicable – the current authentication design does not include MFA, out-of-band methods, cryptographic assertions, or external identity providers.</t>
        </is>
      </c>
      <c r="H50" s="16" t="inlineStr">
        <is>
          <t>N/A – not in current authentication scope</t>
        </is>
      </c>
    </row>
    <row r="51" ht="30" customHeight="1" s="35">
      <c r="A51" s="19" t="inlineStr">
        <is>
          <t>V6.7</t>
        </is>
      </c>
      <c r="B51" s="19" t="inlineStr">
        <is>
          <t>Cryptographic authentication mechanism</t>
        </is>
      </c>
      <c r="C51" s="20" t="inlineStr">
        <is>
          <t>V6.7.2</t>
        </is>
      </c>
      <c r="D51" s="21" t="inlineStr">
        <is>
          <t>Verify that the challenge nonce is at least 64 bits in length, and statistically unique or unique over the lifetime of the cryptographic device.</t>
        </is>
      </c>
      <c r="E51" s="23" t="n">
        <v>3</v>
      </c>
      <c r="F51" s="18" t="inlineStr">
        <is>
          <t>Not Applicable</t>
        </is>
      </c>
      <c r="G51" s="21" t="inlineStr">
        <is>
          <t>Not applicable – the current authentication design does not include MFA, out-of-band methods, cryptographic assertions, or external identity providers.</t>
        </is>
      </c>
      <c r="H51" s="21" t="inlineStr">
        <is>
          <t>N/A – not in current authentication scope</t>
        </is>
      </c>
    </row>
    <row r="52" ht="18" customHeight="1" s="35">
      <c r="A52" s="13" t="inlineStr">
        <is>
          <t>V6.8</t>
        </is>
      </c>
      <c r="B52" s="13" t="inlineStr">
        <is>
          <t>Authentication with an Identity Provider</t>
        </is>
      </c>
      <c r="C52" s="13" t="n"/>
      <c r="D52" s="13" t="n"/>
      <c r="E52" s="13" t="n"/>
      <c r="F52" s="13" t="n"/>
      <c r="G52" s="13" t="n"/>
      <c r="H52" s="13" t="n"/>
    </row>
    <row r="53" ht="60" customHeight="1" s="35">
      <c r="A53" s="14" t="inlineStr">
        <is>
          <t>V6.8</t>
        </is>
      </c>
      <c r="B53" s="14" t="inlineStr">
        <is>
          <t>Authentication with an Identity Provider</t>
        </is>
      </c>
      <c r="C53" s="15" t="inlineStr">
        <is>
          <t>V6.8.1</t>
        </is>
      </c>
      <c r="D53" s="16"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17" t="n">
        <v>2</v>
      </c>
      <c r="F53" s="18" t="inlineStr">
        <is>
          <t>Not Applicable</t>
        </is>
      </c>
      <c r="G53" s="16" t="inlineStr">
        <is>
          <t>Not applicable – the current authentication design does not include MFA, out-of-band methods, cryptographic assertions, or external identity providers.</t>
        </is>
      </c>
      <c r="H53" s="16" t="inlineStr">
        <is>
          <t>N/A – not in current authentication scope</t>
        </is>
      </c>
    </row>
    <row r="54" ht="60" customHeight="1" s="35">
      <c r="A54" s="19" t="inlineStr">
        <is>
          <t>V6.8</t>
        </is>
      </c>
      <c r="B54" s="19" t="inlineStr">
        <is>
          <t>Authentication with an Identity Provider</t>
        </is>
      </c>
      <c r="C54" s="20" t="inlineStr">
        <is>
          <t>V6.8.2</t>
        </is>
      </c>
      <c r="D54" s="21" t="inlineStr">
        <is>
          <t>Verify that the presence and integrity of digital signatures on authentication assertions (for example on JWTs or SAML assertions) are always validated, rejecting any assertions that are unsigned or have invalid signatures.</t>
        </is>
      </c>
      <c r="E54" s="17" t="n">
        <v>2</v>
      </c>
      <c r="F54" s="18" t="inlineStr">
        <is>
          <t>Compliant</t>
        </is>
      </c>
      <c r="G54" s="21" t="inlineStr">
        <is>
          <t>JWT validation checks HMAC signature, kid, issuer, audience, expiry, jti, subject, role and revocation state before authentication succeeds.</t>
        </is>
      </c>
      <c r="H54" s="21" t="inlineStr">
        <is>
          <t>JwtService.java; JwtAuthenticationFilter.java; JwtServiceSecurityTest</t>
        </is>
      </c>
    </row>
    <row r="55" ht="30" customHeight="1" s="35">
      <c r="A55" s="14" t="inlineStr">
        <is>
          <t>V6.8</t>
        </is>
      </c>
      <c r="B55" s="14" t="inlineStr">
        <is>
          <t>Authentication with an Identity Provider</t>
        </is>
      </c>
      <c r="C55" s="15" t="inlineStr">
        <is>
          <t>V6.8.3</t>
        </is>
      </c>
      <c r="D55" s="16" t="inlineStr">
        <is>
          <t>Verify that SAML assertions are uniquely processed and used only once within the validity period to prevent replay attacks.</t>
        </is>
      </c>
      <c r="E55" s="17" t="n">
        <v>2</v>
      </c>
      <c r="F55" s="18" t="inlineStr">
        <is>
          <t>Not Applicable</t>
        </is>
      </c>
      <c r="G55" s="16" t="inlineStr">
        <is>
          <t>Not applicable – the current authentication design does not include MFA, out-of-band methods, cryptographic assertions, or external identity providers.</t>
        </is>
      </c>
      <c r="H55" s="16" t="inlineStr">
        <is>
          <t>N/A – not in current authentication scope</t>
        </is>
      </c>
    </row>
    <row r="56" ht="105" customHeight="1" s="35">
      <c r="A56" s="19" t="inlineStr">
        <is>
          <t>V6.8</t>
        </is>
      </c>
      <c r="B56" s="19" t="inlineStr">
        <is>
          <t>Authentication with an Identity Provider</t>
        </is>
      </c>
      <c r="C56" s="20" t="inlineStr">
        <is>
          <t>V6.8.4</t>
        </is>
      </c>
      <c r="D56" s="21"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17" t="n">
        <v>2</v>
      </c>
      <c r="F56" s="18" t="inlineStr">
        <is>
          <t>Not Applicable</t>
        </is>
      </c>
      <c r="G56" s="21" t="inlineStr">
        <is>
          <t>Not applicable – the current authentication design does not include MFA, out-of-band methods, cryptographic assertions, or external identity providers.</t>
        </is>
      </c>
      <c r="H56" s="21" t="inlineStr">
        <is>
          <t>N/A – not in current authentication scope</t>
        </is>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5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26"/>
  <sheetViews>
    <sheetView topLeftCell="A16" zoomScale="70" zoomScaleNormal="70" workbookViewId="0">
      <selection activeCell="H18" sqref="H1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V7.1</t>
        </is>
      </c>
      <c r="B2" s="13" t="inlineStr">
        <is>
          <t>Session Management Documentation</t>
        </is>
      </c>
      <c r="C2" s="13" t="n"/>
      <c r="D2" s="13" t="n"/>
      <c r="E2" s="13" t="n"/>
      <c r="F2" s="13" t="n"/>
      <c r="G2" s="13" t="n"/>
      <c r="H2" s="13" t="n"/>
    </row>
    <row r="3" ht="75" customHeight="1" s="35">
      <c r="A3" s="14" t="inlineStr">
        <is>
          <t>V7.1</t>
        </is>
      </c>
      <c r="B3" s="14" t="inlineStr">
        <is>
          <t>Session Management Documentation</t>
        </is>
      </c>
      <c r="C3" s="15" t="inlineStr">
        <is>
          <t>V7.1.1</t>
        </is>
      </c>
      <c r="D3" s="16"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17" t="n">
        <v>2</v>
      </c>
      <c r="F3" s="18" t="inlineStr">
        <is>
          <t>Compliant</t>
        </is>
      </c>
      <c r="G3" s="16" t="inlineStr">
        <is>
          <t>Session lifetime is stateless JWT based and documented/configured through JWT_EXPIRATION_SECONDS; tokens expire absolutely and revoked tokens are rejected.</t>
        </is>
      </c>
      <c r="H3" s="16" t="inlineStr">
        <is>
          <t>application.yaml; JwtService.java; JwtRevocationPersistenceIntegrationTest; SECURITY_TESTING.md</t>
        </is>
      </c>
    </row>
    <row r="4" ht="60" customHeight="1" s="35">
      <c r="A4" s="19" t="inlineStr">
        <is>
          <t>V7.1</t>
        </is>
      </c>
      <c r="B4" s="19" t="inlineStr">
        <is>
          <t>Session Management Documentation</t>
        </is>
      </c>
      <c r="C4" s="20" t="inlineStr">
        <is>
          <t>V7.1.2</t>
        </is>
      </c>
      <c r="D4" s="21" t="inlineStr">
        <is>
          <t>Verify that the documentation defines how many concurrent (parallel) sessions are allowed for one account as well as the intended behaviors and actions to be taken when the maximum number of active sessions is reached.</t>
        </is>
      </c>
      <c r="E4" s="17" t="n">
        <v>2</v>
      </c>
      <c r="F4" s="18" t="inlineStr">
        <is>
          <t>Not Started</t>
        </is>
      </c>
      <c r="G4" s="21" t="inlineStr">
        <is>
          <t>Concurrent-session policy for staff users is not yet documented.</t>
        </is>
      </c>
      <c r="H4" s="21" t="inlineStr">
        <is>
          <t>DESOFS Phase 1: §5.1 RS1-RS3; AC5/AC8/AC11; STRIDE P5/P6; §12 tests</t>
        </is>
      </c>
    </row>
    <row r="5" ht="75" customHeight="1" s="35">
      <c r="A5" s="14" t="inlineStr">
        <is>
          <t>V7.1</t>
        </is>
      </c>
      <c r="B5" s="14" t="inlineStr">
        <is>
          <t>Session Management Documentation</t>
        </is>
      </c>
      <c r="C5" s="15" t="inlineStr">
        <is>
          <t>V7.1.3</t>
        </is>
      </c>
      <c r="D5" s="16"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17" t="n">
        <v>2</v>
      </c>
      <c r="F5" s="18" t="inlineStr">
        <is>
          <t>Not Applicable</t>
        </is>
      </c>
      <c r="G5" s="16" t="inlineStr">
        <is>
          <t>Not applicable – the current session design does not use federated identity or SSO.</t>
        </is>
      </c>
      <c r="H5" s="16" t="inlineStr">
        <is>
          <t>N/A – federated identity not in current system scope</t>
        </is>
      </c>
    </row>
    <row r="6" ht="18" customHeight="1" s="35">
      <c r="A6" s="13" t="inlineStr">
        <is>
          <t>V7.2</t>
        </is>
      </c>
      <c r="B6" s="13" t="inlineStr">
        <is>
          <t>Fundamental Session Management Security</t>
        </is>
      </c>
      <c r="C6" s="13" t="n"/>
      <c r="D6" s="13" t="n"/>
      <c r="E6" s="13" t="n"/>
      <c r="F6" s="13" t="n"/>
      <c r="G6" s="13" t="n"/>
      <c r="H6" s="13" t="n"/>
    </row>
    <row r="7" ht="75" customHeight="1" s="35">
      <c r="A7" s="14" t="inlineStr">
        <is>
          <t>V7.2</t>
        </is>
      </c>
      <c r="B7" s="14" t="inlineStr">
        <is>
          <t>Fundamental Session Management Security</t>
        </is>
      </c>
      <c r="C7" s="15" t="inlineStr">
        <is>
          <t>V7.2.1</t>
        </is>
      </c>
      <c r="D7" s="16" t="inlineStr">
        <is>
          <t>Verify that the application performs all session token verification using a trusted, backend service.</t>
        </is>
      </c>
      <c r="E7" s="22" t="n">
        <v>1</v>
      </c>
      <c r="F7" s="18" t="inlineStr">
        <is>
          <t>Compliant</t>
        </is>
      </c>
      <c r="G7" s="40" t="inlineStr">
        <is>
          <t>JWT/session token validation is performed server-side through Spring Security filters/services.</t>
        </is>
      </c>
      <c r="H7" s="40" t="inlineStr">
        <is>
          <t>JwtAuthenticationFilter.java; JwtService.java; SecurityConfig.java</t>
        </is>
      </c>
    </row>
    <row r="8" ht="60" customHeight="1" s="35">
      <c r="A8" s="19" t="inlineStr">
        <is>
          <t>V7.2</t>
        </is>
      </c>
      <c r="B8" s="19" t="inlineStr">
        <is>
          <t>Fundamental Session Management Security</t>
        </is>
      </c>
      <c r="C8" s="20" t="inlineStr">
        <is>
          <t>V7.2.2</t>
        </is>
      </c>
      <c r="D8" s="21" t="inlineStr">
        <is>
          <t>Verify that the application uses either self-contained or reference tokens that are dynamically generated for session management, i.e. not using static API secrets and keys.</t>
        </is>
      </c>
      <c r="E8" s="22" t="n">
        <v>1</v>
      </c>
      <c r="F8" s="27" t="inlineStr">
        <is>
          <t>Compliant</t>
        </is>
      </c>
      <c r="G8" s="21" t="inlineStr">
        <is>
          <t>JWT Bearer tokens are generated dynamically after successful username/password authentication and are not static API keys or shared secrets.</t>
        </is>
      </c>
      <c r="H8" s="21" t="inlineStr">
        <is>
          <t>AuthService.java; JwtService.java; AuthController.java</t>
        </is>
      </c>
    </row>
    <row r="9" ht="60" customHeight="1" s="35">
      <c r="A9" s="14" t="inlineStr">
        <is>
          <t>V7.2</t>
        </is>
      </c>
      <c r="B9" s="14" t="inlineStr">
        <is>
          <t>Fundamental Session Management Security</t>
        </is>
      </c>
      <c r="C9" s="15" t="inlineStr">
        <is>
          <t>V7.2.3</t>
        </is>
      </c>
      <c r="D9" s="16" t="inlineStr">
        <is>
          <t>Verify that if reference tokens are used to represent user sessions, they are unique and generated using a cryptographically secure pseudo-random number generator (CSPRNG) and possess at least 128 bits of entropy.</t>
        </is>
      </c>
      <c r="E9" s="22" t="n">
        <v>1</v>
      </c>
      <c r="F9" s="18" t="inlineStr">
        <is>
          <t>Not Applicable</t>
        </is>
      </c>
      <c r="G9" s="16" t="inlineStr">
        <is>
          <t>The application uses self-contained JWTs for staff sessions and does not implement reference session tokens.</t>
        </is>
      </c>
      <c r="H9" s="16" t="inlineStr">
        <is>
          <t>N/A – reference session tokens not used</t>
        </is>
      </c>
    </row>
    <row r="10" ht="60" customHeight="1" s="35">
      <c r="A10" s="19" t="inlineStr">
        <is>
          <t>V7.2</t>
        </is>
      </c>
      <c r="B10" s="19" t="inlineStr">
        <is>
          <t>Fundamental Session Management Security</t>
        </is>
      </c>
      <c r="C10" s="20" t="inlineStr">
        <is>
          <t>V7.2.4</t>
        </is>
      </c>
      <c r="D10" s="21" t="inlineStr">
        <is>
          <t>Verify that the application generates a new session token on user authentication, including re-authentication, and terminates the current session token.</t>
        </is>
      </c>
      <c r="E10" s="22" t="n">
        <v>1</v>
      </c>
      <c r="F10" s="18" t="inlineStr">
        <is>
          <t>Compliant</t>
        </is>
      </c>
      <c r="G10" s="41" t="inlineStr">
        <is>
          <t>Final JWT is issued only after successful login plus MFA for internal roles.</t>
        </is>
      </c>
      <c r="H10" s="41" t="inlineStr">
        <is>
          <t>AuthController.java; MfaService.java; runtime-endpoints.md</t>
        </is>
      </c>
    </row>
    <row r="11" ht="18" customHeight="1" s="35">
      <c r="A11" s="13" t="inlineStr">
        <is>
          <t>V7.3</t>
        </is>
      </c>
      <c r="B11" s="13" t="inlineStr">
        <is>
          <t>Session Timeout</t>
        </is>
      </c>
      <c r="C11" s="13" t="n"/>
      <c r="D11" s="13" t="n"/>
      <c r="E11" s="13" t="n"/>
      <c r="F11" s="13" t="n"/>
      <c r="G11" s="13" t="n"/>
      <c r="H11" s="13" t="n"/>
    </row>
    <row r="12" ht="45" customHeight="1" s="35">
      <c r="A12" s="14" t="inlineStr">
        <is>
          <t>V7.3</t>
        </is>
      </c>
      <c r="B12" s="14" t="inlineStr">
        <is>
          <t>Session Timeout</t>
        </is>
      </c>
      <c r="C12" s="15" t="inlineStr">
        <is>
          <t>V7.3.1</t>
        </is>
      </c>
      <c r="D12" s="16" t="inlineStr">
        <is>
          <t>Verify that there is an inactivity timeout such that re-authentication is enforced according to risk analysis and documented security decisions.</t>
        </is>
      </c>
      <c r="E12" s="17" t="n">
        <v>2</v>
      </c>
      <c r="F12" s="18" t="inlineStr">
        <is>
          <t>Not Started</t>
        </is>
      </c>
      <c r="G12" s="16" t="inlineStr">
        <is>
          <t>No inactivity timeout enforcement was found for stateless JWT sessions; tokens remain valid until absolute expiration.</t>
        </is>
      </c>
      <c r="H12" s="16" t="inlineStr">
        <is>
          <t>No implementation evidence found</t>
        </is>
      </c>
    </row>
    <row r="13" ht="60" customHeight="1" s="35">
      <c r="A13" s="19" t="inlineStr">
        <is>
          <t>V7.3</t>
        </is>
      </c>
      <c r="B13" s="19" t="inlineStr">
        <is>
          <t>Session Timeout</t>
        </is>
      </c>
      <c r="C13" s="20" t="inlineStr">
        <is>
          <t>V7.3.2</t>
        </is>
      </c>
      <c r="D13" s="21" t="inlineStr">
        <is>
          <t>Verify that there is an absolute maximum session lifetime such that re-authentication is enforced according to risk analysis and documented security decisions.</t>
        </is>
      </c>
      <c r="E13" s="17" t="n">
        <v>2</v>
      </c>
      <c r="F13" s="18" t="inlineStr">
        <is>
          <t>Compliant</t>
        </is>
      </c>
      <c r="G13" s="41" t="inlineStr">
        <is>
          <t>JWT expiration is configured and enforced by token validation.</t>
        </is>
      </c>
      <c r="H13" s="41" t="inlineStr">
        <is>
          <t>JwtService.java; application*.properties</t>
        </is>
      </c>
    </row>
    <row r="14" ht="18" customHeight="1" s="35">
      <c r="A14" s="13" t="inlineStr">
        <is>
          <t>V7.4</t>
        </is>
      </c>
      <c r="B14" s="13" t="inlineStr">
        <is>
          <t>Session Termination</t>
        </is>
      </c>
      <c r="C14" s="13" t="n"/>
      <c r="D14" s="13" t="n"/>
      <c r="E14" s="13" t="n"/>
      <c r="F14" s="13" t="n"/>
      <c r="G14" s="13" t="n"/>
      <c r="H14" s="13" t="n"/>
    </row>
    <row r="15" ht="120" customHeight="1" s="35">
      <c r="A15" s="14" t="inlineStr">
        <is>
          <t>V7.4</t>
        </is>
      </c>
      <c r="B15" s="14" t="inlineStr">
        <is>
          <t>Session Termination</t>
        </is>
      </c>
      <c r="C15" s="15" t="inlineStr">
        <is>
          <t>V7.4.1</t>
        </is>
      </c>
      <c r="D15" s="16"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22" t="n">
        <v>1</v>
      </c>
      <c r="F15" s="18" t="inlineStr">
        <is>
          <t>Compliant</t>
        </is>
      </c>
      <c r="G15" s="40" t="inlineStr">
        <is>
          <t>Logout endpoint is exercised with valid JWT and no-token cases; token/session termination behavior is documented.</t>
        </is>
      </c>
      <c r="H15" s="40" t="inlineStr">
        <is>
          <t>AuthController.java; runtime-endpoints.md</t>
        </is>
      </c>
    </row>
    <row r="16" ht="75" customHeight="1" s="35">
      <c r="A16" s="19" t="inlineStr">
        <is>
          <t>V7.4</t>
        </is>
      </c>
      <c r="B16" s="19" t="inlineStr">
        <is>
          <t>Session Termination</t>
        </is>
      </c>
      <c r="C16" s="20" t="inlineStr">
        <is>
          <t>V7.4.2</t>
        </is>
      </c>
      <c r="D16" s="21" t="inlineStr">
        <is>
          <t>Verify that the application terminates all active sessions when a user account is disabled or deleted (such as an employee leaving the company).</t>
        </is>
      </c>
      <c r="E16" s="22" t="n">
        <v>1</v>
      </c>
      <c r="F16" s="18" t="inlineStr">
        <is>
          <t>In Progress</t>
        </is>
      </c>
      <c r="G16" s="41" t="inlineStr">
        <is>
          <t>Admin user deactivation exists; broad active-session termination on account lifecycle changes remains partially evidenced.</t>
        </is>
      </c>
      <c r="H16" s="41" t="inlineStr">
        <is>
          <t>AdminUserController.java; AUTHORIZATION_MATRIX.md</t>
        </is>
      </c>
    </row>
    <row r="17" ht="60" customHeight="1" s="35">
      <c r="A17" s="14" t="inlineStr">
        <is>
          <t>V7.4</t>
        </is>
      </c>
      <c r="B17" s="14" t="inlineStr">
        <is>
          <t>Session Termination</t>
        </is>
      </c>
      <c r="C17" s="15" t="inlineStr">
        <is>
          <t>V7.4.3</t>
        </is>
      </c>
      <c r="D17" s="16" t="inlineStr">
        <is>
          <t>Verify that the application gives the option to terminate all other active sessions after a successful change or removal of any authentication factor (including password change via reset or recovery and, if present, an MFA settings update).</t>
        </is>
      </c>
      <c r="E17" s="17" t="n">
        <v>2</v>
      </c>
      <c r="F17" s="18" t="inlineStr">
        <is>
          <t>Not Started</t>
        </is>
      </c>
      <c r="G17" s="16" t="inlineStr">
        <is>
          <t>Terminate-other-session behavior after auth-factor changes is not yet specified.</t>
        </is>
      </c>
      <c r="H17" s="16" t="inlineStr">
        <is>
          <t>DESOFS Phase 1: §5.1 RS1-RS3; AC5/AC8/AC11; STRIDE P5/P6; §12 tests</t>
        </is>
      </c>
    </row>
    <row r="18" ht="60" customHeight="1" s="35">
      <c r="A18" s="19" t="inlineStr">
        <is>
          <t>V7.4</t>
        </is>
      </c>
      <c r="B18" s="19" t="inlineStr">
        <is>
          <t>Session Termination</t>
        </is>
      </c>
      <c r="C18" s="20" t="inlineStr">
        <is>
          <t>V7.4.4</t>
        </is>
      </c>
      <c r="D18" s="21" t="inlineStr">
        <is>
          <t>Verify that all pages that require authentication have easy and visible access to logout functionality.</t>
        </is>
      </c>
      <c r="E18" s="17" t="n">
        <v>2</v>
      </c>
      <c r="F18" s="18" t="inlineStr">
        <is>
          <t>Compliant</t>
        </is>
      </c>
      <c r="G18" s="21" t="inlineStr">
        <is>
          <t>Authenticated admin, analyst and auditor pages provide visible logout buttons that remove stored JWTs from sessionStorage and return to the login state.</t>
        </is>
      </c>
      <c r="H18" s="21" t="inlineStr">
        <is>
          <t>admin.html; analyst.html; auditor.html</t>
        </is>
      </c>
    </row>
    <row r="19" ht="45" customHeight="1" s="35">
      <c r="A19" s="14" t="inlineStr">
        <is>
          <t>V7.4</t>
        </is>
      </c>
      <c r="B19" s="14" t="inlineStr">
        <is>
          <t>Session Termination</t>
        </is>
      </c>
      <c r="C19" s="15" t="inlineStr">
        <is>
          <t>V7.4.5</t>
        </is>
      </c>
      <c r="D19" s="16" t="inlineStr">
        <is>
          <t>Verify that application administrators are able to terminate active sessions for an individual user or for all users.</t>
        </is>
      </c>
      <c r="E19" s="17" t="n">
        <v>2</v>
      </c>
      <c r="F19" s="18" t="inlineStr">
        <is>
          <t>Not Started</t>
        </is>
      </c>
      <c r="G19" s="16" t="inlineStr">
        <is>
          <t>Admin session revocation capability would fit the design, but is not yet specified.</t>
        </is>
      </c>
      <c r="H19" s="16" t="inlineStr">
        <is>
          <t>DESOFS Phase 1: §5.1 RS1-RS3; AC5/AC8/AC11; STRIDE P5/P6; §12 tests</t>
        </is>
      </c>
    </row>
    <row r="20" ht="18" customHeight="1" s="35">
      <c r="A20" s="13" t="inlineStr">
        <is>
          <t>V7.5</t>
        </is>
      </c>
      <c r="B20" s="13" t="inlineStr">
        <is>
          <t>Defenses Against Session Abuse</t>
        </is>
      </c>
      <c r="C20" s="13" t="n"/>
      <c r="D20" s="13" t="n"/>
      <c r="E20" s="13" t="n"/>
      <c r="F20" s="13" t="n"/>
      <c r="G20" s="13" t="n"/>
      <c r="H20" s="13" t="n"/>
    </row>
    <row r="21" ht="60" customHeight="1" s="35">
      <c r="A21" s="14" t="inlineStr">
        <is>
          <t>V7.5</t>
        </is>
      </c>
      <c r="B21" s="14" t="inlineStr">
        <is>
          <t>Defenses Against Session Abuse</t>
        </is>
      </c>
      <c r="C21" s="15" t="inlineStr">
        <is>
          <t>V7.5.1</t>
        </is>
      </c>
      <c r="D21" s="16"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17" t="n">
        <v>2</v>
      </c>
      <c r="F21" s="18" t="inlineStr">
        <is>
          <t>Not Started</t>
        </is>
      </c>
      <c r="G21" s="16" t="inlineStr">
        <is>
          <t>Sensitive-account-operation re-authentication/session management is not yet fully defined.</t>
        </is>
      </c>
      <c r="H21" s="16" t="inlineStr">
        <is>
          <t>DESOFS Phase 1: §5.1 RS1-RS3; AC5/AC8/AC11; STRIDE P5/P6; §12 tests</t>
        </is>
      </c>
    </row>
    <row r="22" ht="45" customHeight="1" s="35">
      <c r="A22" s="19" t="inlineStr">
        <is>
          <t>V7.5</t>
        </is>
      </c>
      <c r="B22" s="19" t="inlineStr">
        <is>
          <t>Defenses Against Session Abuse</t>
        </is>
      </c>
      <c r="C22" s="20" t="inlineStr">
        <is>
          <t>V7.5.2</t>
        </is>
      </c>
      <c r="D22" s="21" t="inlineStr">
        <is>
          <t>Verify that users are able to view and (having authenticated again with at least one factor) terminate any or all currently active sessions.</t>
        </is>
      </c>
      <c r="E22" s="17" t="n">
        <v>2</v>
      </c>
      <c r="F22" s="18" t="inlineStr">
        <is>
          <t>Not Started</t>
        </is>
      </c>
      <c r="G22" s="21" t="inlineStr">
        <is>
          <t>Sensitive-account-operation re-authentication/session management is not yet fully defined.</t>
        </is>
      </c>
      <c r="H22" s="21" t="inlineStr">
        <is>
          <t>DESOFS Phase 1: §5.1 RS1-RS3; AC5/AC8/AC11; STRIDE P5/P6; §12 tests</t>
        </is>
      </c>
    </row>
    <row r="23" ht="45" customHeight="1" s="35">
      <c r="A23" s="14" t="inlineStr">
        <is>
          <t>V7.5</t>
        </is>
      </c>
      <c r="B23" s="14" t="inlineStr">
        <is>
          <t>Defenses Against Session Abuse</t>
        </is>
      </c>
      <c r="C23" s="15" t="inlineStr">
        <is>
          <t>V7.5.3</t>
        </is>
      </c>
      <c r="D23" s="16" t="inlineStr">
        <is>
          <t>Verify that the application requires further authentication with at least one factor or secondary verification before performing highly sensitive transactions or operations.</t>
        </is>
      </c>
      <c r="E23" s="23" t="n">
        <v>3</v>
      </c>
      <c r="F23" s="18" t="inlineStr">
        <is>
          <t>Not Started</t>
        </is>
      </c>
      <c r="G23" s="16" t="inlineStr">
        <is>
          <t>Sensitive-account-operation re-authentication/session management is not yet fully defined.</t>
        </is>
      </c>
      <c r="H23" s="16" t="inlineStr">
        <is>
          <t>DESOFS Phase 1: §5.1 RS1-RS3; AC5/AC8/AC11; STRIDE P5/P6; §12 tests</t>
        </is>
      </c>
    </row>
    <row r="24" ht="18" customHeight="1" s="35">
      <c r="A24" s="13" t="inlineStr">
        <is>
          <t>V7.6</t>
        </is>
      </c>
      <c r="B24" s="13" t="inlineStr">
        <is>
          <t>Federated Re-authentication</t>
        </is>
      </c>
      <c r="C24" s="13" t="n"/>
      <c r="D24" s="13" t="n"/>
      <c r="E24" s="13" t="n"/>
      <c r="F24" s="13" t="n"/>
      <c r="G24" s="13" t="n"/>
      <c r="H24" s="13" t="n"/>
    </row>
    <row r="25" ht="75" customHeight="1" s="35">
      <c r="A25" s="14" t="inlineStr">
        <is>
          <t>V7.6</t>
        </is>
      </c>
      <c r="B25" s="14" t="inlineStr">
        <is>
          <t>Federated Re-authentication</t>
        </is>
      </c>
      <c r="C25" s="15" t="inlineStr">
        <is>
          <t>V7.6.1</t>
        </is>
      </c>
      <c r="D25" s="16" t="inlineStr">
        <is>
          <t>Verify that session lifetime and termination between Relying Parties (RPs) and Identity Providers (IdPs) behave as documented, requiring re-authentication as necessary such as when the maximum time between IdP authentication events is reached.</t>
        </is>
      </c>
      <c r="E25" s="17" t="n">
        <v>2</v>
      </c>
      <c r="F25" s="18" t="inlineStr">
        <is>
          <t>Not Applicable</t>
        </is>
      </c>
      <c r="G25" s="16" t="inlineStr">
        <is>
          <t>Not applicable – the current session design does not use federated identity or SSO.</t>
        </is>
      </c>
      <c r="H25" s="16" t="inlineStr">
        <is>
          <t>N/A – federated identity not in current system scope</t>
        </is>
      </c>
    </row>
    <row r="26" ht="45" customHeight="1" s="35">
      <c r="A26" s="19" t="inlineStr">
        <is>
          <t>V7.6</t>
        </is>
      </c>
      <c r="B26" s="19" t="inlineStr">
        <is>
          <t>Federated Re-authentication</t>
        </is>
      </c>
      <c r="C26" s="20" t="inlineStr">
        <is>
          <t>V7.6.2</t>
        </is>
      </c>
      <c r="D26" s="21" t="inlineStr">
        <is>
          <t>Verify that creation of a session requires either the user's consent or an explicit action, preventing the creation of new application sessions without user interaction.</t>
        </is>
      </c>
      <c r="E26" s="17" t="n">
        <v>2</v>
      </c>
      <c r="F26" s="18" t="inlineStr">
        <is>
          <t>Not Applicable</t>
        </is>
      </c>
      <c r="G26" s="21" t="inlineStr">
        <is>
          <t>Not applicable – the current session design does not use federated identity or SSO.</t>
        </is>
      </c>
      <c r="H26" s="21" t="inlineStr">
        <is>
          <t>N/A – federated identity not in current system scope</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8"/>
  <sheetViews>
    <sheetView zoomScale="80" zoomScaleNormal="80" workbookViewId="0">
      <selection activeCell="P20" sqref="P2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V8.1</t>
        </is>
      </c>
      <c r="B2" s="13" t="inlineStr">
        <is>
          <t>Authorization Documentation</t>
        </is>
      </c>
      <c r="C2" s="13" t="n"/>
      <c r="D2" s="13" t="n"/>
      <c r="E2" s="13" t="n"/>
      <c r="F2" s="13" t="n"/>
      <c r="G2" s="13" t="n"/>
      <c r="H2" s="13" t="n"/>
    </row>
    <row r="3" ht="89.25" customHeight="1" s="35">
      <c r="A3" s="14" t="inlineStr">
        <is>
          <t>V8.1</t>
        </is>
      </c>
      <c r="B3" s="14" t="inlineStr">
        <is>
          <t>Authorization Documentation</t>
        </is>
      </c>
      <c r="C3" s="15" t="inlineStr">
        <is>
          <t>V8.1.1</t>
        </is>
      </c>
      <c r="D3" s="16" t="inlineStr">
        <is>
          <t>Verify that authorization documentation defines rules for restricting function-level and data-specific access based on consumer permissions and resource attributes.</t>
        </is>
      </c>
      <c r="E3" s="22" t="n">
        <v>1</v>
      </c>
      <c r="F3" s="18" t="inlineStr">
        <is>
          <t>Compliant</t>
        </is>
      </c>
      <c r="G3" s="40" t="inlineStr">
        <is>
          <t>Function-level authorization is documented by role and endpoint.</t>
        </is>
      </c>
      <c r="H3" s="40" t="inlineStr">
        <is>
          <t>AUTHORIZATION_MATRIX.md; DEVSECOPS_PIPELINE.md</t>
        </is>
      </c>
    </row>
    <row r="4" ht="91.5" customHeight="1" s="35">
      <c r="A4" s="19" t="inlineStr">
        <is>
          <t>V8.1</t>
        </is>
      </c>
      <c r="B4" s="19" t="inlineStr">
        <is>
          <t>Authorization Documentation</t>
        </is>
      </c>
      <c r="C4" s="20" t="inlineStr">
        <is>
          <t>V8.1.2</t>
        </is>
      </c>
      <c r="D4" s="21"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17" t="n">
        <v>2</v>
      </c>
      <c r="F4" s="18" t="inlineStr">
        <is>
          <t>Compliant</t>
        </is>
      </c>
      <c r="G4" s="41" t="inlineStr">
        <is>
          <t>Field-level/mass-assignment restrictions are documented through DTOs and endpoint behavior.</t>
        </is>
      </c>
      <c r="H4" s="41" t="inlineStr">
        <is>
          <t>PHASE2_SPRINT2_REPORT.md; SECURITY_TESTING.md</t>
        </is>
      </c>
    </row>
    <row r="5" ht="30" customHeight="1" s="35">
      <c r="A5" s="14" t="inlineStr">
        <is>
          <t>V8.1</t>
        </is>
      </c>
      <c r="B5" s="14" t="inlineStr">
        <is>
          <t>Authorization Documentation</t>
        </is>
      </c>
      <c r="C5" s="15" t="inlineStr">
        <is>
          <t>V8.1.3</t>
        </is>
      </c>
      <c r="D5" s="16"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23" t="n">
        <v>3</v>
      </c>
      <c r="F5" s="18" t="inlineStr">
        <is>
          <t>Not Applicable</t>
        </is>
      </c>
      <c r="G5" s="16" t="inlineStr">
        <is>
          <t>Not applicable – the authorization design does not use environmental or contextual attributes such as location, device, or time of day.</t>
        </is>
      </c>
      <c r="H5" s="16" t="inlineStr">
        <is>
          <t>N/A – contextual/adaptive authorization not in current scope</t>
        </is>
      </c>
    </row>
    <row r="6" ht="30" customHeight="1" s="35">
      <c r="A6" s="19" t="inlineStr">
        <is>
          <t>V8.1</t>
        </is>
      </c>
      <c r="B6" s="19" t="inlineStr">
        <is>
          <t>Authorization Documentation</t>
        </is>
      </c>
      <c r="C6" s="20" t="inlineStr">
        <is>
          <t>V8.1.4</t>
        </is>
      </c>
      <c r="D6" s="21"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23" t="n">
        <v>3</v>
      </c>
      <c r="F6" s="18" t="inlineStr">
        <is>
          <t>Not Applicable</t>
        </is>
      </c>
      <c r="G6" s="21" t="inlineStr">
        <is>
          <t>Not applicable – the authorization design does not use environmental or contextual attributes such as location, device, or time of day.</t>
        </is>
      </c>
      <c r="H6" s="21" t="inlineStr">
        <is>
          <t>N/A – contextual/adaptive authorization not in current scope</t>
        </is>
      </c>
    </row>
    <row r="7" ht="18" customHeight="1" s="35">
      <c r="A7" s="13" t="inlineStr">
        <is>
          <t>V8.2</t>
        </is>
      </c>
      <c r="B7" s="13" t="inlineStr">
        <is>
          <t>General Authorization Design</t>
        </is>
      </c>
      <c r="C7" s="13" t="n"/>
      <c r="D7" s="13" t="n"/>
      <c r="E7" s="13" t="n"/>
      <c r="F7" s="13" t="n"/>
      <c r="G7" s="13" t="n"/>
      <c r="H7" s="13" t="n"/>
    </row>
    <row r="8" ht="78" customHeight="1" s="35">
      <c r="A8" s="14" t="inlineStr">
        <is>
          <t>V8.2</t>
        </is>
      </c>
      <c r="B8" s="14" t="inlineStr">
        <is>
          <t>General Authorization Design</t>
        </is>
      </c>
      <c r="C8" s="15" t="inlineStr">
        <is>
          <t>V8.2.1</t>
        </is>
      </c>
      <c r="D8" s="16" t="inlineStr">
        <is>
          <t>Verify that the application ensures that function-level access is restricted to consumers with explicit permissions.</t>
        </is>
      </c>
      <c r="E8" s="22" t="n">
        <v>1</v>
      </c>
      <c r="F8" s="18" t="inlineStr">
        <is>
          <t>Compliant</t>
        </is>
      </c>
      <c r="G8" s="16" t="inlineStr">
        <is>
          <t>Function-level authorization is enforced server-side with Spring Security role rules for admin, analyst and audit endpoints, with tests for unauthenticated and forbidden access.</t>
        </is>
      </c>
      <c r="H8" s="16" t="inlineStr">
        <is>
          <t>SecurityConfig.java; AdminController.java; AnalystController.java; AuditController.java; RbacAuthorizationMatrixTest; AuditorAuthorizationTest</t>
        </is>
      </c>
    </row>
    <row r="9" ht="105" customHeight="1" s="35">
      <c r="A9" s="19" t="inlineStr">
        <is>
          <t>V8.2</t>
        </is>
      </c>
      <c r="B9" s="19" t="inlineStr">
        <is>
          <t>General Authorization Design</t>
        </is>
      </c>
      <c r="C9" s="20" t="inlineStr">
        <is>
          <t>V8.2.2</t>
        </is>
      </c>
      <c r="D9" s="21" t="inlineStr">
        <is>
          <t>Verify that the application ensures that data-specific access is restricted to consumers with explicit permissions to specific data items to mitigate insecure direct object reference (IDOR) and broken object level authorization (BOLA).</t>
        </is>
      </c>
      <c r="E9" s="22" t="n">
        <v>1</v>
      </c>
      <c r="F9" s="18" t="inlineStr">
        <is>
          <t>Compliant</t>
        </is>
      </c>
      <c r="G9" s="21" t="inlineStr">
        <is>
          <t>Object-level authorization is enforced for analyst case visibility, assigned-case access, attachment downloads, tracking-code public flows and evidence package generation, with tests for cross-user access attempts.</t>
        </is>
      </c>
      <c r="H9" s="21" t="inlineStr">
        <is>
          <t>ReportService.java; CaseReviewService.java; CasePackageService.java; AnalystCaseOwnershipTest; ReportControllerAttachmentUploadTest; CasePackageServiceIntegrationTest</t>
        </is>
      </c>
    </row>
    <row r="10" ht="89.25" customHeight="1" s="35">
      <c r="A10" s="14" t="inlineStr">
        <is>
          <t>V8.2</t>
        </is>
      </c>
      <c r="B10" s="14" t="inlineStr">
        <is>
          <t>General Authorization Design</t>
        </is>
      </c>
      <c r="C10" s="15" t="inlineStr">
        <is>
          <t>V8.2.3</t>
        </is>
      </c>
      <c r="D10" s="16" t="inlineStr">
        <is>
          <t>Verify that the application ensures that field-level access is restricted to consumers with explicit permissions to specific fields to mitigate broken object property level authorization (BOPLA).</t>
        </is>
      </c>
      <c r="E10" s="17" t="n">
        <v>2</v>
      </c>
      <c r="F10" s="18" t="inlineStr">
        <is>
          <t>Compliant</t>
        </is>
      </c>
      <c r="G10" s="40" t="inlineStr">
        <is>
          <t>Runtime probes include mass-assignment attempts and role-crossing attempts; DTOs constrain accepted fields.</t>
        </is>
      </c>
      <c r="H10" s="40" t="inlineStr">
        <is>
          <t>runtime-endpoints.md; DTOs</t>
        </is>
      </c>
    </row>
    <row r="11" ht="30" customHeight="1" s="35">
      <c r="A11" s="19" t="inlineStr">
        <is>
          <t>V8.2</t>
        </is>
      </c>
      <c r="B11" s="19" t="inlineStr">
        <is>
          <t>General Authorization Design</t>
        </is>
      </c>
      <c r="C11" s="20" t="inlineStr">
        <is>
          <t>V8.2.4</t>
        </is>
      </c>
      <c r="D11" s="21"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23" t="n">
        <v>3</v>
      </c>
      <c r="F11" s="18" t="inlineStr">
        <is>
          <t>Not Applicable</t>
        </is>
      </c>
      <c r="G11" s="21" t="inlineStr">
        <is>
          <t>Not applicable – the authorization design does not use environmental or contextual attributes such as location, device, or time of day.</t>
        </is>
      </c>
      <c r="H11" s="21" t="inlineStr">
        <is>
          <t>N/A – contextual/adaptive authorization not in current scope</t>
        </is>
      </c>
    </row>
    <row r="12" ht="18" customHeight="1" s="35">
      <c r="A12" s="13" t="inlineStr">
        <is>
          <t>V8.3</t>
        </is>
      </c>
      <c r="B12" s="13" t="inlineStr">
        <is>
          <t>Operation Level Authorization</t>
        </is>
      </c>
      <c r="C12" s="13" t="n"/>
      <c r="D12" s="13" t="n"/>
      <c r="E12" s="13" t="n"/>
      <c r="F12" s="13" t="n"/>
      <c r="G12" s="13" t="n"/>
      <c r="H12" s="13" t="n"/>
    </row>
    <row r="13" ht="75" customHeight="1" s="35">
      <c r="A13" s="14" t="inlineStr">
        <is>
          <t>V8.3</t>
        </is>
      </c>
      <c r="B13" s="14" t="inlineStr">
        <is>
          <t>Operation Level Authorization</t>
        </is>
      </c>
      <c r="C13" s="15" t="inlineStr">
        <is>
          <t>V8.3.1</t>
        </is>
      </c>
      <c r="D13" s="16" t="inlineStr">
        <is>
          <t>Verify that the application enforces authorization rules at a trusted service layer and doesn't rely on controls that an untrusted consumer could manipulate, such as client-side JavaScript.</t>
        </is>
      </c>
      <c r="E13" s="22" t="n">
        <v>1</v>
      </c>
      <c r="F13" s="18" t="inlineStr">
        <is>
          <t>Compliant</t>
        </is>
      </c>
      <c r="G13" s="16" t="inlineStr">
        <is>
          <t>Authorization is enforced in Spring Security and backend services using authenticated roles, current principal and resource ownership checks; frontend UI visibility is not the trusted control.</t>
        </is>
      </c>
      <c r="H13" s="16" t="inlineStr">
        <is>
          <t>SecurityConfig.java; SecurityUtils.java; ReportService.java; CaseReviewService.java; CasePackageService.java</t>
        </is>
      </c>
    </row>
    <row r="14" ht="105" customHeight="1" s="35">
      <c r="A14" s="19" t="inlineStr">
        <is>
          <t>V8.3</t>
        </is>
      </c>
      <c r="B14" s="19" t="inlineStr">
        <is>
          <t>Operation Level Authorization</t>
        </is>
      </c>
      <c r="C14" s="20" t="inlineStr">
        <is>
          <t>V8.3.2</t>
        </is>
      </c>
      <c r="D14" s="21"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23" t="n">
        <v>3</v>
      </c>
      <c r="F14" s="18" t="inlineStr">
        <is>
          <t>In Progress</t>
        </is>
      </c>
      <c r="G14" s="41" t="inlineStr">
        <is>
          <t>Role/user changes are protected by admin endpoints; immediate revocation semantics are partially evidenced.</t>
        </is>
      </c>
      <c r="H14" s="41" t="inlineStr">
        <is>
          <t>AdminUserController.java; SECURITY_TESTING.md</t>
        </is>
      </c>
    </row>
    <row r="15" ht="120" customHeight="1" s="35">
      <c r="A15" s="14" t="inlineStr">
        <is>
          <t>V8.3</t>
        </is>
      </c>
      <c r="B15" s="14" t="inlineStr">
        <is>
          <t>Operation Level Authorization</t>
        </is>
      </c>
      <c r="C15" s="15" t="inlineStr">
        <is>
          <t>V8.3.3</t>
        </is>
      </c>
      <c r="D15" s="16"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23" t="n">
        <v>3</v>
      </c>
      <c r="F15" s="18" t="inlineStr">
        <is>
          <t>Compliant</t>
        </is>
      </c>
      <c r="G15" s="16" t="inlineStr">
        <is>
          <t>Object access decisions use the authenticated principal and resource ownership rather than a generic service account for analyst case and attachment operations.</t>
        </is>
      </c>
      <c r="H15" s="16" t="inlineStr">
        <is>
          <t>SecurityUtils.java; ReportService.checkInternalAccessToReport; CaseReviewService.getAccessibleCaseReview; AnalystCaseOwnershipTest</t>
        </is>
      </c>
    </row>
    <row r="16" ht="18" customHeight="1" s="35">
      <c r="A16" s="13" t="inlineStr">
        <is>
          <t>V8.4</t>
        </is>
      </c>
      <c r="B16" s="13" t="inlineStr">
        <is>
          <t>Other Authorization Considerations</t>
        </is>
      </c>
      <c r="C16" s="13" t="n"/>
      <c r="D16" s="13" t="n"/>
      <c r="E16" s="13" t="n"/>
      <c r="F16" s="13" t="n"/>
      <c r="G16" s="13" t="n"/>
      <c r="H16" s="13" t="n"/>
    </row>
    <row r="17" ht="30" customHeight="1" s="35">
      <c r="A17" s="14" t="inlineStr">
        <is>
          <t>V8.4</t>
        </is>
      </c>
      <c r="B17" s="14" t="inlineStr">
        <is>
          <t>Other Authorization Considerations</t>
        </is>
      </c>
      <c r="C17" s="15" t="inlineStr">
        <is>
          <t>V8.4.1</t>
        </is>
      </c>
      <c r="D17" s="16" t="inlineStr">
        <is>
          <t>Verify that multi-tenant applications use cross-tenant controls to ensure consumer operations will never affect tenants with which they do not have permissions to interact.</t>
        </is>
      </c>
      <c r="E17" s="17" t="n">
        <v>2</v>
      </c>
      <c r="F17" s="18" t="inlineStr">
        <is>
          <t>Not Applicable</t>
        </is>
      </c>
      <c r="G17" s="16" t="inlineStr">
        <is>
          <t>Not applicable – the application is not designed as a multi-tenant system.</t>
        </is>
      </c>
      <c r="H17" s="16" t="inlineStr">
        <is>
          <t>N/A – multi-tenant controls not in current system scope</t>
        </is>
      </c>
    </row>
    <row r="18" ht="90" customHeight="1" s="35">
      <c r="A18" s="19" t="inlineStr">
        <is>
          <t>V8.4</t>
        </is>
      </c>
      <c r="B18" s="19" t="inlineStr">
        <is>
          <t>Other Authorization Considerations</t>
        </is>
      </c>
      <c r="C18" s="20" t="inlineStr">
        <is>
          <t>V8.4.2</t>
        </is>
      </c>
      <c r="D18" s="21"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23" t="n">
        <v>3</v>
      </c>
      <c r="F18" s="18" t="inlineStr">
        <is>
          <t>Compliant</t>
        </is>
      </c>
      <c r="G18" s="41" t="inlineStr">
        <is>
          <t>Administrative interfaces require ADMIN role and completed MFA; analyst/auditor attempts return 403.</t>
        </is>
      </c>
      <c r="H18" s="41" t="inlineStr">
        <is>
          <t>SecurityConfig.java; runtime-endpoints.md</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0"/>
  <sheetViews>
    <sheetView topLeftCell="A3" workbookViewId="0">
      <selection activeCell="H9" sqref="H9:H1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V9.1</t>
        </is>
      </c>
      <c r="B2" s="13" t="inlineStr">
        <is>
          <t>Token source and integrity</t>
        </is>
      </c>
      <c r="C2" s="13" t="n"/>
      <c r="D2" s="13" t="n"/>
      <c r="E2" s="13" t="n"/>
      <c r="F2" s="13" t="n"/>
      <c r="G2" s="13" t="n"/>
      <c r="H2" s="13" t="n"/>
    </row>
    <row r="3" ht="90" customHeight="1" s="35">
      <c r="A3" s="14" t="inlineStr">
        <is>
          <t>V9.1</t>
        </is>
      </c>
      <c r="B3" s="14" t="inlineStr">
        <is>
          <t>Token source and integrity</t>
        </is>
      </c>
      <c r="C3" s="15" t="inlineStr">
        <is>
          <t>V9.1.1</t>
        </is>
      </c>
      <c r="D3" s="16" t="inlineStr">
        <is>
          <t>Verify that self-contained tokens are validated using their digital signature or MAC to protect against tampering before accepting the token's contents.</t>
        </is>
      </c>
      <c r="E3" s="22" t="n">
        <v>1</v>
      </c>
      <c r="F3" s="18" t="inlineStr">
        <is>
          <t>Compliant</t>
        </is>
      </c>
      <c r="G3" s="40" t="inlineStr">
        <is>
          <t>JWTs are validated using configured signing key and signature checks.</t>
        </is>
      </c>
      <c r="H3" s="40" t="inlineStr">
        <is>
          <t>JwtService.java; JwtAuthenticationFilter.java</t>
        </is>
      </c>
    </row>
    <row r="4" ht="105" customHeight="1" s="35">
      <c r="A4" s="19" t="inlineStr">
        <is>
          <t>V9.1</t>
        </is>
      </c>
      <c r="B4" s="19" t="inlineStr">
        <is>
          <t>Token source and integrity</t>
        </is>
      </c>
      <c r="C4" s="20" t="inlineStr">
        <is>
          <t>V9.1.2</t>
        </is>
      </c>
      <c r="D4" s="21"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22" t="n">
        <v>1</v>
      </c>
      <c r="F4" s="18" t="inlineStr">
        <is>
          <t>Compliant</t>
        </is>
      </c>
      <c r="G4" s="40" t="inlineStr">
        <is>
          <t>JWT algorithm is controlled by server-side JwtService configuration rather than accepting client-selected algorithms.</t>
        </is>
      </c>
      <c r="H4" s="40" t="inlineStr">
        <is>
          <t>JwtService.java</t>
        </is>
      </c>
    </row>
    <row r="5" ht="90" customHeight="1" s="35">
      <c r="A5" s="14" t="inlineStr">
        <is>
          <t>V9.1</t>
        </is>
      </c>
      <c r="B5" s="14" t="inlineStr">
        <is>
          <t>Token source and integrity</t>
        </is>
      </c>
      <c r="C5" s="15" t="inlineStr">
        <is>
          <t>V9.1.3</t>
        </is>
      </c>
      <c r="D5" s="16"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22" t="n">
        <v>1</v>
      </c>
      <c r="F5" s="18" t="inlineStr">
        <is>
          <t>Compliant</t>
        </is>
      </c>
      <c r="G5" s="16" t="inlineStr">
        <is>
          <t>JWT validation key material comes from the trusted ghostreport.jwt.secret application configuration with a minimum length check; token header key sources such as jku, x5u or jwk are not processed.</t>
        </is>
      </c>
      <c r="H5" s="16" t="inlineStr">
        <is>
          <t>JwtService.java; application.yaml; application-test.yaml</t>
        </is>
      </c>
    </row>
    <row r="6" ht="18" customHeight="1" s="35">
      <c r="A6" s="13" t="inlineStr">
        <is>
          <t>V9.2</t>
        </is>
      </c>
      <c r="B6" s="13" t="inlineStr">
        <is>
          <t>Token content</t>
        </is>
      </c>
      <c r="C6" s="13" t="n"/>
      <c r="D6" s="13" t="n"/>
      <c r="E6" s="13" t="n"/>
      <c r="F6" s="13" t="n"/>
      <c r="G6" s="13" t="n"/>
      <c r="H6" s="13" t="n"/>
    </row>
    <row r="7" ht="60" customHeight="1" s="35">
      <c r="A7" s="14" t="inlineStr">
        <is>
          <t>V9.2</t>
        </is>
      </c>
      <c r="B7" s="14" t="inlineStr">
        <is>
          <t>Token content</t>
        </is>
      </c>
      <c r="C7" s="15" t="inlineStr">
        <is>
          <t>V9.2.1</t>
        </is>
      </c>
      <c r="D7" s="16" t="inlineStr">
        <is>
          <t>Verify that, if a validity time span is present in the token data, the token and its content are accepted only if the verification time is within this validity time span. For example, for JWTs, the claims 'nbf' and 'exp' must be verified.</t>
        </is>
      </c>
      <c r="E7" s="22" t="n">
        <v>1</v>
      </c>
      <c r="F7" s="18" t="inlineStr">
        <is>
          <t>Compliant</t>
        </is>
      </c>
      <c r="G7" s="40" t="inlineStr">
        <is>
          <t>JWT expiration claims are validated and expired/invalid token behavior is covered by tests/probes where feasible.</t>
        </is>
      </c>
      <c r="H7" s="40" t="inlineStr">
        <is>
          <t>JwtService.java; SECURITY_TESTING.md</t>
        </is>
      </c>
    </row>
    <row r="8" ht="75" customHeight="1" s="35">
      <c r="A8" s="19" t="inlineStr">
        <is>
          <t>V9.2</t>
        </is>
      </c>
      <c r="B8" s="19" t="inlineStr">
        <is>
          <t>Token content</t>
        </is>
      </c>
      <c r="C8" s="20" t="inlineStr">
        <is>
          <t>V9.2.2</t>
        </is>
      </c>
      <c r="D8" s="21"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17" t="n">
        <v>2</v>
      </c>
      <c r="F8" s="18" t="inlineStr">
        <is>
          <t>Compliant</t>
        </is>
      </c>
      <c r="G8" s="40" t="inlineStr">
        <is>
          <t>JWTs include explicit iss/aud/jti/type-equivalent header checks and are accepted only after signature, issuer, audience and role validation.</t>
        </is>
      </c>
      <c r="H8" s="40" t="inlineStr">
        <is>
          <t>JwtService.java; JwtServiceSecurityTest</t>
        </is>
      </c>
    </row>
    <row r="9" ht="60" customHeight="1" s="35">
      <c r="A9" s="14" t="inlineStr">
        <is>
          <t>V9.2</t>
        </is>
      </c>
      <c r="B9" s="14" t="inlineStr">
        <is>
          <t>Token content</t>
        </is>
      </c>
      <c r="C9" s="15" t="inlineStr">
        <is>
          <t>V9.2.3</t>
        </is>
      </c>
      <c r="D9" s="16" t="inlineStr">
        <is>
          <t>Verify that the service only accepts tokens which are intended for use with that service (audience). For JWTs, this can be achieved by validating the 'aud' claim against an allowlist defined in the service.</t>
        </is>
      </c>
      <c r="E9" s="17" t="n">
        <v>2</v>
      </c>
      <c r="F9" s="18" t="inlineStr">
        <is>
          <t>Compliant</t>
        </is>
      </c>
      <c r="G9" s="16" t="inlineStr">
        <is>
          <t>JWT audience is issued as ghostreport-api and tokens with another audience are rejected even with a valid signature.</t>
        </is>
      </c>
      <c r="H9" s="16" t="inlineStr">
        <is>
          <t>JwtService.java; JwtServiceSecurityTest</t>
        </is>
      </c>
    </row>
    <row r="10" ht="30" customHeight="1" s="35">
      <c r="A10" s="19" t="inlineStr">
        <is>
          <t>V9.2</t>
        </is>
      </c>
      <c r="B10" s="19" t="inlineStr">
        <is>
          <t>Token content</t>
        </is>
      </c>
      <c r="C10" s="20" t="inlineStr">
        <is>
          <t>V9.2.4</t>
        </is>
      </c>
      <c r="D10" s="21"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17" t="n">
        <v>2</v>
      </c>
      <c r="F10" s="18" t="inlineStr">
        <is>
          <t>Compliant</t>
        </is>
      </c>
      <c r="G10" s="16" t="inlineStr">
        <is>
          <t>JWTs include an audience claim and key id; current and previous signing keys are scoped through configured kid values for rotation.</t>
        </is>
      </c>
      <c r="H10" s="16" t="inlineStr">
        <is>
          <t>JwtService.java; JwtServiceSecurityTest; application.yaml</t>
        </is>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0"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44"/>
  <sheetViews>
    <sheetView topLeftCell="A48" zoomScale="70" zoomScaleNormal="70" workbookViewId="0">
      <selection activeCell="A1" sqref="A1:H44"/>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V10.1</t>
        </is>
      </c>
      <c r="B2" s="13" t="inlineStr">
        <is>
          <t>Generic OAuth and OIDC Security</t>
        </is>
      </c>
      <c r="C2" s="13" t="n"/>
      <c r="D2" s="13" t="n"/>
      <c r="E2" s="13" t="n"/>
      <c r="F2" s="13" t="n"/>
      <c r="G2" s="13" t="n"/>
      <c r="H2" s="13" t="n"/>
    </row>
    <row r="3" ht="60" customHeight="1" s="35">
      <c r="A3" s="14" t="inlineStr">
        <is>
          <t>V10.1</t>
        </is>
      </c>
      <c r="B3" s="14" t="inlineStr">
        <is>
          <t>Generic OAuth and OIDC Security</t>
        </is>
      </c>
      <c r="C3" s="15" t="inlineStr">
        <is>
          <t>V10.1.1</t>
        </is>
      </c>
      <c r="D3" s="16" t="inlineStr">
        <is>
          <t>Verify that tokens are only sent to components that strictly need them. For example, when using a backend-for-frontend pattern for browser-based JavaScript applications, access and refresh tokens shall only be accessible for the backend.</t>
        </is>
      </c>
      <c r="E3" s="17" t="n">
        <v>2</v>
      </c>
      <c r="F3" s="18" t="inlineStr">
        <is>
          <t>Not Applicable</t>
        </is>
      </c>
      <c r="G3" s="16" t="inlineStr">
        <is>
          <t>Application does not use OAuth2 or OpenID Connect; authentication is handled internally via backend-managed sessions and RBAC.</t>
        </is>
      </c>
      <c r="H3" s="16" t="inlineStr">
        <is>
          <t>DESOFS Phase 1: §5.1 RS1-RS3; §2.2 Assumptions</t>
        </is>
      </c>
    </row>
    <row r="4" ht="135" customHeight="1" s="35">
      <c r="A4" s="19" t="inlineStr">
        <is>
          <t>V10.1</t>
        </is>
      </c>
      <c r="B4" s="19" t="inlineStr">
        <is>
          <t>Generic OAuth and OIDC Security</t>
        </is>
      </c>
      <c r="C4" s="20" t="inlineStr">
        <is>
          <t>V10.1.2</t>
        </is>
      </c>
      <c r="D4" s="21"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17" t="n">
        <v>2</v>
      </c>
      <c r="F4" s="18" t="inlineStr">
        <is>
          <t>Not Applicable</t>
        </is>
      </c>
      <c r="G4" s="16" t="inlineStr">
        <is>
          <t>Application does not use OAuth2 or OpenID Connect; authentication is handled internally via backend-managed sessions and RBAC.</t>
        </is>
      </c>
      <c r="H4" s="21" t="inlineStr">
        <is>
          <t>DESOFS Phase 1: §5.1 RS1-RS3; §2.2 Assumptions</t>
        </is>
      </c>
    </row>
    <row r="5" ht="18" customHeight="1" s="35">
      <c r="A5" s="13" t="inlineStr">
        <is>
          <t>V10.2</t>
        </is>
      </c>
      <c r="B5" s="13" t="inlineStr">
        <is>
          <t>OAuth Client</t>
        </is>
      </c>
      <c r="C5" s="13" t="n"/>
      <c r="D5" s="13" t="n"/>
      <c r="E5" s="13" t="n"/>
      <c r="F5" s="13" t="n"/>
      <c r="G5" s="13" t="n"/>
      <c r="H5" s="13" t="n"/>
    </row>
    <row r="6" ht="90" customHeight="1" s="35">
      <c r="A6" s="14" t="inlineStr">
        <is>
          <t>V10.2</t>
        </is>
      </c>
      <c r="B6" s="14" t="inlineStr">
        <is>
          <t>OAuth Client</t>
        </is>
      </c>
      <c r="C6" s="15" t="inlineStr">
        <is>
          <t>V10.2.1</t>
        </is>
      </c>
      <c r="D6" s="16"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17" t="n">
        <v>2</v>
      </c>
      <c r="F6" s="18" t="inlineStr">
        <is>
          <t>Not Applicable</t>
        </is>
      </c>
      <c r="G6" s="16" t="inlineStr">
        <is>
          <t>Application does not use OAuth2 or OpenID Connect; authentication is handled internally via backend-managed sessions and RBAC.</t>
        </is>
      </c>
      <c r="H6" s="16" t="inlineStr">
        <is>
          <t>DESOFS Phase 1: §5.1 RS1-RS3; §2.2 Assumptions</t>
        </is>
      </c>
    </row>
    <row r="7" ht="75" customHeight="1" s="35">
      <c r="A7" s="19" t="inlineStr">
        <is>
          <t>V10.2</t>
        </is>
      </c>
      <c r="B7" s="19" t="inlineStr">
        <is>
          <t>OAuth Client</t>
        </is>
      </c>
      <c r="C7" s="20" t="inlineStr">
        <is>
          <t>V10.2.2</t>
        </is>
      </c>
      <c r="D7" s="21"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17" t="n">
        <v>2</v>
      </c>
      <c r="F7" s="18" t="inlineStr">
        <is>
          <t>Not Applicable</t>
        </is>
      </c>
      <c r="G7" s="16" t="inlineStr">
        <is>
          <t>Application does not use OAuth2 or OpenID Connect; authentication is handled internally via backend-managed sessions and RBAC.</t>
        </is>
      </c>
      <c r="H7" s="21" t="inlineStr">
        <is>
          <t>DESOFS Phase 1: §5.1 RS1-RS3; §2.2 Assumptions</t>
        </is>
      </c>
    </row>
    <row r="8" ht="60" customHeight="1" s="35">
      <c r="A8" s="14" t="inlineStr">
        <is>
          <t>V10.2</t>
        </is>
      </c>
      <c r="B8" s="14" t="inlineStr">
        <is>
          <t>OAuth Client</t>
        </is>
      </c>
      <c r="C8" s="15" t="inlineStr">
        <is>
          <t>V10.2.3</t>
        </is>
      </c>
      <c r="D8" s="16" t="inlineStr">
        <is>
          <t>Verify that the OAuth client only requests the required scopes (or other authorization parameters) in requests to the authorization server.</t>
        </is>
      </c>
      <c r="E8" s="23" t="n">
        <v>3</v>
      </c>
      <c r="F8" s="18" t="inlineStr">
        <is>
          <t>Not Applicable</t>
        </is>
      </c>
      <c r="G8" s="16" t="inlineStr">
        <is>
          <t>Application does not use OAuth2 or OpenID Connect; authentication is handled internally via backend-managed sessions and RBAC.</t>
        </is>
      </c>
      <c r="H8" s="16" t="inlineStr">
        <is>
          <t>DESOFS Phase 1: §5.1 RS1-RS3; §2.2 Assumptions</t>
        </is>
      </c>
    </row>
    <row r="9" ht="18" customHeight="1" s="35">
      <c r="A9" s="13" t="inlineStr">
        <is>
          <t>V10.3</t>
        </is>
      </c>
      <c r="B9" s="13" t="inlineStr">
        <is>
          <t>OAuth Resource Server</t>
        </is>
      </c>
      <c r="C9" s="13" t="n"/>
      <c r="D9" s="13" t="n"/>
      <c r="E9" s="13" t="n"/>
      <c r="F9" s="13" t="n"/>
      <c r="G9" s="13" t="n"/>
      <c r="H9" s="13" t="n"/>
    </row>
    <row r="10" ht="75" customHeight="1" s="35">
      <c r="A10" s="14" t="inlineStr">
        <is>
          <t>V10.3</t>
        </is>
      </c>
      <c r="B10" s="14" t="inlineStr">
        <is>
          <t>OAuth Resource Server</t>
        </is>
      </c>
      <c r="C10" s="15" t="inlineStr">
        <is>
          <t>V10.3.1</t>
        </is>
      </c>
      <c r="D10" s="16"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17" t="n">
        <v>2</v>
      </c>
      <c r="F10" s="18" t="inlineStr">
        <is>
          <t>Not Applicable</t>
        </is>
      </c>
      <c r="G10" s="16" t="inlineStr">
        <is>
          <t>Application does not use OAuth2 or OpenID Connect; authentication is handled internally via backend-managed sessions and RBAC.</t>
        </is>
      </c>
      <c r="H10" s="16" t="inlineStr">
        <is>
          <t>DESOFS Phase 1: §5.1 RS1-RS3; §2.2 Assumptions</t>
        </is>
      </c>
    </row>
    <row r="11" ht="75" customHeight="1" s="35">
      <c r="A11" s="19" t="inlineStr">
        <is>
          <t>V10.3</t>
        </is>
      </c>
      <c r="B11" s="19" t="inlineStr">
        <is>
          <t>OAuth Resource Server</t>
        </is>
      </c>
      <c r="C11" s="20" t="inlineStr">
        <is>
          <t>V10.3.2</t>
        </is>
      </c>
      <c r="D11" s="21" t="inlineStr">
        <is>
          <t>Verify that the resource server enforces authorization decisions based on claims from the access token that define delegated authorization. If claims such as 'sub', 'scope', and 'authorization_details' are present, they must be part of the decision.</t>
        </is>
      </c>
      <c r="E11" s="17" t="n">
        <v>2</v>
      </c>
      <c r="F11" s="18" t="inlineStr">
        <is>
          <t>Not Applicable</t>
        </is>
      </c>
      <c r="G11" s="16" t="inlineStr">
        <is>
          <t>Application does not use OAuth2 or OpenID Connect; authentication is handled internally via backend-managed sessions and RBAC.</t>
        </is>
      </c>
      <c r="H11" s="21" t="inlineStr">
        <is>
          <t>DESOFS Phase 1: §5.1 RS1-RS3; §2.2 Assumptions</t>
        </is>
      </c>
    </row>
    <row r="12" ht="75" customHeight="1" s="35">
      <c r="A12" s="14" t="inlineStr">
        <is>
          <t>V10.3</t>
        </is>
      </c>
      <c r="B12" s="14" t="inlineStr">
        <is>
          <t>OAuth Resource Server</t>
        </is>
      </c>
      <c r="C12" s="15" t="inlineStr">
        <is>
          <t>V10.3.3</t>
        </is>
      </c>
      <c r="D12" s="16"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17" t="n">
        <v>2</v>
      </c>
      <c r="F12" s="18" t="inlineStr">
        <is>
          <t>Not Applicable</t>
        </is>
      </c>
      <c r="G12" s="16" t="inlineStr">
        <is>
          <t>Application does not use OAuth2 or OpenID Connect; authentication is handled internally via backend-managed sessions and RBAC.</t>
        </is>
      </c>
      <c r="H12" s="16" t="inlineStr">
        <is>
          <t>DESOFS Phase 1: §5.1 RS1-RS3; §2.2 Assumptions</t>
        </is>
      </c>
    </row>
    <row r="13" ht="75" customHeight="1" s="35">
      <c r="A13" s="19" t="inlineStr">
        <is>
          <t>V10.3</t>
        </is>
      </c>
      <c r="B13" s="19" t="inlineStr">
        <is>
          <t>OAuth Resource Server</t>
        </is>
      </c>
      <c r="C13" s="20" t="inlineStr">
        <is>
          <t>V10.3.4</t>
        </is>
      </c>
      <c r="D13" s="21"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17" t="n">
        <v>2</v>
      </c>
      <c r="F13" s="18" t="inlineStr">
        <is>
          <t>Not Applicable</t>
        </is>
      </c>
      <c r="G13" s="16" t="inlineStr">
        <is>
          <t>Application does not use OAuth2 or OpenID Connect; authentication is handled internally via backend-managed sessions and RBAC.</t>
        </is>
      </c>
      <c r="H13" s="21" t="inlineStr">
        <is>
          <t>DESOFS Phase 1: §5.1 RS1-RS3; §2.2 Assumptions</t>
        </is>
      </c>
    </row>
    <row r="14" ht="75" customHeight="1" s="35">
      <c r="A14" s="14" t="inlineStr">
        <is>
          <t>V10.3</t>
        </is>
      </c>
      <c r="B14" s="14" t="inlineStr">
        <is>
          <t>OAuth Resource Server</t>
        </is>
      </c>
      <c r="C14" s="15" t="inlineStr">
        <is>
          <t>V10.3.5</t>
        </is>
      </c>
      <c r="D14" s="16"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23" t="n">
        <v>3</v>
      </c>
      <c r="F14" s="18" t="inlineStr">
        <is>
          <t>Not Applicable</t>
        </is>
      </c>
      <c r="G14" s="16" t="inlineStr">
        <is>
          <t>Application does not use OAuth2 or OpenID Connect; authentication is handled internally via backend-managed sessions and RBAC.</t>
        </is>
      </c>
      <c r="H14" s="16" t="inlineStr">
        <is>
          <t>DESOFS Phase 1: §5.1 RS1-RS3; §2.2 Assumptions</t>
        </is>
      </c>
    </row>
    <row r="15" ht="18" customHeight="1" s="35">
      <c r="A15" s="13" t="inlineStr">
        <is>
          <t>V10.4</t>
        </is>
      </c>
      <c r="B15" s="13" t="inlineStr">
        <is>
          <t>OAuth Authorization Server</t>
        </is>
      </c>
      <c r="C15" s="13" t="n"/>
      <c r="D15" s="13" t="n"/>
      <c r="E15" s="13" t="n"/>
      <c r="F15" s="13" t="n"/>
      <c r="G15" s="13" t="n"/>
      <c r="H15" s="13" t="n"/>
    </row>
    <row r="16" ht="60" customHeight="1" s="35">
      <c r="A16" s="14" t="inlineStr">
        <is>
          <t>V10.4</t>
        </is>
      </c>
      <c r="B16" s="14" t="inlineStr">
        <is>
          <t>OAuth Authorization Server</t>
        </is>
      </c>
      <c r="C16" s="15" t="inlineStr">
        <is>
          <t>V10.4.1</t>
        </is>
      </c>
      <c r="D16" s="16" t="inlineStr">
        <is>
          <t>Verify that the authorization server validates redirect URIs based on a client-specific allowlist of pre-registered URIs using exact string comparison.</t>
        </is>
      </c>
      <c r="E16" s="22" t="n">
        <v>1</v>
      </c>
      <c r="F16" s="18" t="inlineStr">
        <is>
          <t>Not Applicable</t>
        </is>
      </c>
      <c r="G16" s="16" t="inlineStr">
        <is>
          <t>Application does not use OAuth2 or OpenID Connect; authentication is handled internally via backend-managed sessions and RBAC.</t>
        </is>
      </c>
      <c r="H16" s="16" t="inlineStr">
        <is>
          <t>DESOFS Phase 1: §5.1 RS1-RS3; §2.2 Assumptions</t>
        </is>
      </c>
    </row>
    <row r="17" ht="90" customHeight="1" s="35">
      <c r="A17" s="19" t="inlineStr">
        <is>
          <t>V10.4</t>
        </is>
      </c>
      <c r="B17" s="19" t="inlineStr">
        <is>
          <t>OAuth Authorization Server</t>
        </is>
      </c>
      <c r="C17" s="20" t="inlineStr">
        <is>
          <t>V10.4.2</t>
        </is>
      </c>
      <c r="D17" s="21"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22" t="n">
        <v>1</v>
      </c>
      <c r="F17" s="18" t="inlineStr">
        <is>
          <t>Not Applicable</t>
        </is>
      </c>
      <c r="G17" s="32" t="inlineStr">
        <is>
          <t>Application does not use OAuth2 or OpenID Connect; authentication is handled internally via backend-managed sessions and RBAC.</t>
        </is>
      </c>
      <c r="H17" s="21" t="inlineStr">
        <is>
          <t>DESOFS Phase 1: §5.1 RS1-RS3; §2.2 Assumptions</t>
        </is>
      </c>
    </row>
    <row r="18" ht="60" customHeight="1" s="35">
      <c r="A18" s="14" t="inlineStr">
        <is>
          <t>V10.4</t>
        </is>
      </c>
      <c r="B18" s="14" t="inlineStr">
        <is>
          <t>OAuth Authorization Server</t>
        </is>
      </c>
      <c r="C18" s="15" t="inlineStr">
        <is>
          <t>V10.4.3</t>
        </is>
      </c>
      <c r="D18" s="16" t="inlineStr">
        <is>
          <t>Verify that the authorization code is short-lived. The maximum lifetime can be up to 10 minutes for L1 and L2 applications and up to 1 minute for L3 applications.</t>
        </is>
      </c>
      <c r="E18" s="22" t="n">
        <v>1</v>
      </c>
      <c r="F18" s="18" t="inlineStr">
        <is>
          <t>Not Applicable</t>
        </is>
      </c>
      <c r="G18" s="16" t="inlineStr">
        <is>
          <t>Application does not use OAuth2 or OpenID Connect; authentication is handled internally via backend-managed sessions and RBAC.</t>
        </is>
      </c>
      <c r="H18" s="16" t="inlineStr">
        <is>
          <t>DESOFS Phase 1: §5.1 RS1-RS3; §2.2 Assumptions</t>
        </is>
      </c>
    </row>
    <row r="19" ht="60" customHeight="1" s="35">
      <c r="A19" s="19" t="inlineStr">
        <is>
          <t>V10.4</t>
        </is>
      </c>
      <c r="B19" s="19" t="inlineStr">
        <is>
          <t>OAuth Authorization Server</t>
        </is>
      </c>
      <c r="C19" s="20" t="inlineStr">
        <is>
          <t>V10.4.4</t>
        </is>
      </c>
      <c r="D19" s="21" t="inlineStr">
        <is>
          <t>Verify that for a given client, the authorization server only allows the usage of grants that this client needs to use. Note that the grants 'token' (Implicit flow) and 'password' (Resource Owner Password Credentials flow) must no longer be used.</t>
        </is>
      </c>
      <c r="E19" s="22" t="n">
        <v>1</v>
      </c>
      <c r="F19" s="18" t="inlineStr">
        <is>
          <t>Not Applicable</t>
        </is>
      </c>
      <c r="G19" s="32" t="inlineStr">
        <is>
          <t>Application does not use OAuth2 or OpenID Connect; authentication is handled internally via backend-managed sessions and RBAC.</t>
        </is>
      </c>
      <c r="H19" s="21" t="inlineStr">
        <is>
          <t>DESOFS Phase 1: §5.1 RS1-RS3; §2.2 Assumptions</t>
        </is>
      </c>
    </row>
    <row r="20" ht="135" customHeight="1" s="35">
      <c r="A20" s="14" t="inlineStr">
        <is>
          <t>V10.4</t>
        </is>
      </c>
      <c r="B20" s="14" t="inlineStr">
        <is>
          <t>OAuth Authorization Server</t>
        </is>
      </c>
      <c r="C20" s="15" t="inlineStr">
        <is>
          <t>V10.4.5</t>
        </is>
      </c>
      <c r="D20" s="16"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22" t="n">
        <v>1</v>
      </c>
      <c r="F20" s="18" t="inlineStr">
        <is>
          <t>Not Applicable</t>
        </is>
      </c>
      <c r="G20" s="16" t="inlineStr">
        <is>
          <t>Application does not use OAuth2 or OpenID Connect; authentication is handled internally via backend-managed sessions and RBAC.</t>
        </is>
      </c>
      <c r="H20" s="16" t="inlineStr">
        <is>
          <t>DESOFS Phase 1: §5.1 RS1-RS3; §2.2 Assumptions</t>
        </is>
      </c>
    </row>
    <row r="21" ht="105" customHeight="1" s="35">
      <c r="A21" s="19" t="inlineStr">
        <is>
          <t>V10.4</t>
        </is>
      </c>
      <c r="B21" s="19" t="inlineStr">
        <is>
          <t>OAuth Authorization Server</t>
        </is>
      </c>
      <c r="C21" s="20" t="inlineStr">
        <is>
          <t>V10.4.6</t>
        </is>
      </c>
      <c r="D21" s="21"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17" t="n">
        <v>2</v>
      </c>
      <c r="F21" s="18" t="inlineStr">
        <is>
          <t>Not Applicable</t>
        </is>
      </c>
      <c r="G21" s="32" t="inlineStr">
        <is>
          <t>Application does not use OAuth2 or OpenID Connect; authentication is handled internally via backend-managed sessions and RBAC.</t>
        </is>
      </c>
      <c r="H21" s="21" t="inlineStr">
        <is>
          <t>DESOFS Phase 1: §5.1 RS1-RS3; §2.2 Assumptions</t>
        </is>
      </c>
    </row>
    <row r="22" ht="90" customHeight="1" s="35">
      <c r="A22" s="14" t="inlineStr">
        <is>
          <t>V10.4</t>
        </is>
      </c>
      <c r="B22" s="14" t="inlineStr">
        <is>
          <t>OAuth Authorization Server</t>
        </is>
      </c>
      <c r="C22" s="15" t="inlineStr">
        <is>
          <t>V10.4.7</t>
        </is>
      </c>
      <c r="D22" s="16"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17" t="n">
        <v>2</v>
      </c>
      <c r="F22" s="18" t="inlineStr">
        <is>
          <t>Not Applicable</t>
        </is>
      </c>
      <c r="G22" s="16" t="inlineStr">
        <is>
          <t>Application does not use OAuth2 or OpenID Connect; authentication is handled internally via backend-managed sessions and RBAC.</t>
        </is>
      </c>
      <c r="H22" s="16" t="inlineStr">
        <is>
          <t>DESOFS Phase 1: §5.1 RS1-RS3; §2.2 Assumptions</t>
        </is>
      </c>
    </row>
    <row r="23" ht="60" customHeight="1" s="35">
      <c r="A23" s="19" t="inlineStr">
        <is>
          <t>V10.4</t>
        </is>
      </c>
      <c r="B23" s="19" t="inlineStr">
        <is>
          <t>OAuth Authorization Server</t>
        </is>
      </c>
      <c r="C23" s="20" t="inlineStr">
        <is>
          <t>V10.4.8</t>
        </is>
      </c>
      <c r="D23" s="21" t="inlineStr">
        <is>
          <t>Verify that refresh tokens have an absolute expiration, including if sliding refresh token expiration is applied.</t>
        </is>
      </c>
      <c r="E23" s="17" t="n">
        <v>2</v>
      </c>
      <c r="F23" s="18" t="inlineStr">
        <is>
          <t>Not Applicable</t>
        </is>
      </c>
      <c r="G23" s="32" t="inlineStr">
        <is>
          <t>Application does not use OAuth2 or OpenID Connect; authentication is handled internally via backend-managed sessions and RBAC.</t>
        </is>
      </c>
      <c r="H23" s="21" t="inlineStr">
        <is>
          <t>DESOFS Phase 1: §5.1 RS1-RS3; §2.2 Assumptions</t>
        </is>
      </c>
    </row>
    <row r="24" ht="60" customHeight="1" s="35">
      <c r="A24" s="14" t="inlineStr">
        <is>
          <t>V10.4</t>
        </is>
      </c>
      <c r="B24" s="14" t="inlineStr">
        <is>
          <t>OAuth Authorization Server</t>
        </is>
      </c>
      <c r="C24" s="15" t="inlineStr">
        <is>
          <t>V10.4.9</t>
        </is>
      </c>
      <c r="D24" s="16" t="inlineStr">
        <is>
          <t>Verify that refresh tokens and reference access tokens can be revoked by an authorized user using the authorization server user interface, to mitigate the risk of malicious clients or stolen tokens.</t>
        </is>
      </c>
      <c r="E24" s="17" t="n">
        <v>2</v>
      </c>
      <c r="F24" s="18" t="inlineStr">
        <is>
          <t>Not Applicable</t>
        </is>
      </c>
      <c r="G24" s="16" t="inlineStr">
        <is>
          <t>Application does not use OAuth2 or OpenID Connect; authentication is handled internally via backend-managed sessions and RBAC.</t>
        </is>
      </c>
      <c r="H24" s="16" t="inlineStr">
        <is>
          <t>DESOFS Phase 1: §5.1 RS1-RS3; §2.2 Assumptions</t>
        </is>
      </c>
    </row>
    <row r="25" ht="60" customHeight="1" s="35">
      <c r="A25" s="19" t="inlineStr">
        <is>
          <t>V10.4</t>
        </is>
      </c>
      <c r="B25" s="19" t="inlineStr">
        <is>
          <t>OAuth Authorization Server</t>
        </is>
      </c>
      <c r="C25" s="20" t="inlineStr">
        <is>
          <t>V10.4.10</t>
        </is>
      </c>
      <c r="D25" s="21" t="inlineStr">
        <is>
          <t>Verify that confidential client is authenticated for client-to-authorized server backchannel requests such as token requests, pushed authorization requests (PAR), and token revocation requests.</t>
        </is>
      </c>
      <c r="E25" s="17" t="n">
        <v>2</v>
      </c>
      <c r="F25" s="18" t="inlineStr">
        <is>
          <t>Not Applicable</t>
        </is>
      </c>
      <c r="G25" s="32" t="inlineStr">
        <is>
          <t>Application does not use OAuth2 or OpenID Connect; authentication is handled internally via backend-managed sessions and RBAC.</t>
        </is>
      </c>
      <c r="H25" s="21" t="inlineStr">
        <is>
          <t>DESOFS Phase 1: §5.1 RS1-RS3; §2.2 Assumptions</t>
        </is>
      </c>
    </row>
    <row r="26" ht="60" customHeight="1" s="35">
      <c r="A26" s="14" t="inlineStr">
        <is>
          <t>V10.4</t>
        </is>
      </c>
      <c r="B26" s="14" t="inlineStr">
        <is>
          <t>OAuth Authorization Server</t>
        </is>
      </c>
      <c r="C26" s="15" t="inlineStr">
        <is>
          <t>V10.4.11</t>
        </is>
      </c>
      <c r="D26" s="16" t="inlineStr">
        <is>
          <t>Verify that the authorization server configuration only assigns the required scopes to the OAuth client.</t>
        </is>
      </c>
      <c r="E26" s="17" t="n">
        <v>2</v>
      </c>
      <c r="F26" s="18" t="inlineStr">
        <is>
          <t>Not Applicable</t>
        </is>
      </c>
      <c r="G26" s="16" t="inlineStr">
        <is>
          <t>Application does not use OAuth2 or OpenID Connect; authentication is handled internally via backend-managed sessions and RBAC.</t>
        </is>
      </c>
      <c r="H26" s="30" t="inlineStr">
        <is>
          <t>DESOFS Phase 1: §5.1 RS1-RS3; §2.2 Assumptions</t>
        </is>
      </c>
    </row>
    <row r="27" ht="75" customHeight="1" s="35">
      <c r="A27" s="19" t="inlineStr">
        <is>
          <t>V10.4</t>
        </is>
      </c>
      <c r="B27" s="19" t="inlineStr">
        <is>
          <t>OAuth Authorization Server</t>
        </is>
      </c>
      <c r="C27" s="20" t="inlineStr">
        <is>
          <t>V10.4.12</t>
        </is>
      </c>
      <c r="D27" s="21"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23" t="n">
        <v>3</v>
      </c>
      <c r="F27" s="18" t="inlineStr">
        <is>
          <t>Not Applicable</t>
        </is>
      </c>
      <c r="G27" s="32" t="inlineStr">
        <is>
          <t>Application does not use OAuth2 or OpenID Connect; authentication is handled internally via backend-managed sessions and RBAC.</t>
        </is>
      </c>
      <c r="H27" s="21" t="inlineStr">
        <is>
          <t>DESOFS Phase 1: §5.1 RS1-RS3; §2.2 Assumptions</t>
        </is>
      </c>
    </row>
    <row r="28" ht="60" customHeight="1" s="35">
      <c r="A28" s="14" t="inlineStr">
        <is>
          <t>V10.4</t>
        </is>
      </c>
      <c r="B28" s="14" t="inlineStr">
        <is>
          <t>OAuth Authorization Server</t>
        </is>
      </c>
      <c r="C28" s="15" t="inlineStr">
        <is>
          <t>V10.4.13</t>
        </is>
      </c>
      <c r="D28" s="16" t="inlineStr">
        <is>
          <t>Verify that grant type 'code' is always used together with pushed authorization requests (PAR).</t>
        </is>
      </c>
      <c r="E28" s="23" t="n">
        <v>3</v>
      </c>
      <c r="F28" s="18" t="inlineStr">
        <is>
          <t>Not Applicable</t>
        </is>
      </c>
      <c r="G28" s="16" t="inlineStr">
        <is>
          <t>Application does not use OAuth2 or OpenID Connect; authentication is handled internally via backend-managed sessions and RBAC.</t>
        </is>
      </c>
      <c r="H28" s="30" t="inlineStr">
        <is>
          <t>DESOFS Phase 1: §5.1 RS1-RS3; §2.2 Assumptions</t>
        </is>
      </c>
    </row>
    <row r="29" ht="60" customHeight="1" s="35">
      <c r="A29" s="19" t="inlineStr">
        <is>
          <t>V10.4</t>
        </is>
      </c>
      <c r="B29" s="19" t="inlineStr">
        <is>
          <t>OAuth Authorization Server</t>
        </is>
      </c>
      <c r="C29" s="20" t="inlineStr">
        <is>
          <t>V10.4.14</t>
        </is>
      </c>
      <c r="D29" s="21" t="inlineStr">
        <is>
          <t>Verify that the authorization server issues only sender-constrained (Proof-of-Possession) access tokens, either with certificate-bound access tokens using mutual TLS (mTLS) or DPoP-bound access tokens (Demonstration of Proof of Possession).</t>
        </is>
      </c>
      <c r="E29" s="23" t="n">
        <v>3</v>
      </c>
      <c r="F29" s="18" t="inlineStr">
        <is>
          <t>Not Applicable</t>
        </is>
      </c>
      <c r="G29" s="32" t="inlineStr">
        <is>
          <t>Application does not use OAuth2 or OpenID Connect; authentication is handled internally via backend-managed sessions and RBAC.</t>
        </is>
      </c>
      <c r="H29" s="21" t="inlineStr">
        <is>
          <t>DESOFS Phase 1: §5.1 RS1-RS3; §2.2 Assumptions</t>
        </is>
      </c>
    </row>
    <row r="30" ht="90" customHeight="1" s="35">
      <c r="A30" s="14" t="inlineStr">
        <is>
          <t>V10.4</t>
        </is>
      </c>
      <c r="B30" s="14" t="inlineStr">
        <is>
          <t>OAuth Authorization Server</t>
        </is>
      </c>
      <c r="C30" s="15" t="inlineStr">
        <is>
          <t>V10.4.15</t>
        </is>
      </c>
      <c r="D30" s="16"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23" t="n">
        <v>3</v>
      </c>
      <c r="F30" s="18" t="inlineStr">
        <is>
          <t>Not Applicable</t>
        </is>
      </c>
      <c r="G30" s="16" t="inlineStr">
        <is>
          <t>Application does not use OAuth2 or OpenID Connect; authentication is handled internally via backend-managed sessions and RBAC.</t>
        </is>
      </c>
      <c r="H30" s="30" t="inlineStr">
        <is>
          <t>DESOFS Phase 1: §5.1 RS1-RS3; §2.2 Assumptions</t>
        </is>
      </c>
    </row>
    <row r="31" ht="75" customHeight="1" s="35">
      <c r="A31" s="19" t="inlineStr">
        <is>
          <t>V10.4</t>
        </is>
      </c>
      <c r="B31" s="19" t="inlineStr">
        <is>
          <t>OAuth Authorization Server</t>
        </is>
      </c>
      <c r="C31" s="20" t="inlineStr">
        <is>
          <t>V10.4.16</t>
        </is>
      </c>
      <c r="D31" s="21"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23" t="n">
        <v>3</v>
      </c>
      <c r="F31" s="18" t="inlineStr">
        <is>
          <t>Not Applicable</t>
        </is>
      </c>
      <c r="G31" s="32" t="inlineStr">
        <is>
          <t>Application does not use OAuth2 or OpenID Connect; authentication is handled internally via backend-managed sessions and RBAC.</t>
        </is>
      </c>
      <c r="H31" s="21" t="inlineStr">
        <is>
          <t>DESOFS Phase 1: §5.1 RS1-RS3; §2.2 Assumptions</t>
        </is>
      </c>
    </row>
    <row r="32" ht="18" customHeight="1" s="35">
      <c r="A32" s="13" t="inlineStr">
        <is>
          <t>V10.5</t>
        </is>
      </c>
      <c r="B32" s="13" t="inlineStr">
        <is>
          <t>OIDC Client</t>
        </is>
      </c>
      <c r="C32" s="13" t="n"/>
      <c r="D32" s="13" t="n"/>
      <c r="E32" s="13" t="n"/>
      <c r="F32" s="13" t="n"/>
      <c r="G32" s="13" t="n"/>
      <c r="H32" s="13" t="n"/>
    </row>
    <row r="33" ht="90" customHeight="1" s="35">
      <c r="A33" s="14" t="inlineStr">
        <is>
          <t>V10.5</t>
        </is>
      </c>
      <c r="B33" s="14" t="inlineStr">
        <is>
          <t>OIDC Client</t>
        </is>
      </c>
      <c r="C33" s="15" t="inlineStr">
        <is>
          <t>V10.5.1</t>
        </is>
      </c>
      <c r="D33" s="16"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17" t="n">
        <v>2</v>
      </c>
      <c r="F33" s="18" t="inlineStr">
        <is>
          <t>Not Applicable</t>
        </is>
      </c>
      <c r="G33" s="16" t="inlineStr">
        <is>
          <t>Application does not use OAuth2 or OpenID Connect; authentication is handled internally via backend-managed sessions and RBAC.</t>
        </is>
      </c>
      <c r="H33" s="16" t="inlineStr">
        <is>
          <t>DESOFS Phase 1: §5.1 RS1-RS3; §2.2 Assumptions</t>
        </is>
      </c>
    </row>
    <row r="34" ht="60" customHeight="1" s="35">
      <c r="A34" s="19" t="inlineStr">
        <is>
          <t>V10.5</t>
        </is>
      </c>
      <c r="B34" s="19" t="inlineStr">
        <is>
          <t>OIDC Client</t>
        </is>
      </c>
      <c r="C34" s="20" t="inlineStr">
        <is>
          <t>V10.5.2</t>
        </is>
      </c>
      <c r="D34" s="21" t="inlineStr">
        <is>
          <t>Verify that the client uniquely identifies the user from ID Token claims, usually the 'sub' claim, which cannot be reassigned to other users (for the scope of an identity provider).</t>
        </is>
      </c>
      <c r="E34" s="17" t="n">
        <v>2</v>
      </c>
      <c r="F34" s="18" t="inlineStr">
        <is>
          <t>Not Applicable</t>
        </is>
      </c>
      <c r="G34" s="32" t="inlineStr">
        <is>
          <t>Application does not use OAuth2 or OpenID Connect; authentication is handled internally via backend-managed sessions and RBAC.</t>
        </is>
      </c>
      <c r="H34" s="21" t="inlineStr">
        <is>
          <t>DESOFS Phase 1: §5.1 RS1-RS3; §2.2 Assumptions</t>
        </is>
      </c>
    </row>
    <row r="35" ht="90" customHeight="1" s="35">
      <c r="A35" s="14" t="inlineStr">
        <is>
          <t>V10.5</t>
        </is>
      </c>
      <c r="B35" s="14" t="inlineStr">
        <is>
          <t>OIDC Client</t>
        </is>
      </c>
      <c r="C35" s="15" t="inlineStr">
        <is>
          <t>V10.5.3</t>
        </is>
      </c>
      <c r="D35" s="16"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17" t="n">
        <v>2</v>
      </c>
      <c r="F35" s="18" t="inlineStr">
        <is>
          <t>Not Applicable</t>
        </is>
      </c>
      <c r="G35" s="16" t="inlineStr">
        <is>
          <t>Application does not use OAuth2 or OpenID Connect; authentication is handled internally via backend-managed sessions and RBAC.</t>
        </is>
      </c>
      <c r="H35" s="16" t="inlineStr">
        <is>
          <t>DESOFS Phase 1: §5.1 RS1-RS3; §2.2 Assumptions</t>
        </is>
      </c>
    </row>
    <row r="36" ht="60" customHeight="1" s="35">
      <c r="A36" s="19" t="inlineStr">
        <is>
          <t>V10.5</t>
        </is>
      </c>
      <c r="B36" s="19" t="inlineStr">
        <is>
          <t>OIDC Client</t>
        </is>
      </c>
      <c r="C36" s="20" t="inlineStr">
        <is>
          <t>V10.5.4</t>
        </is>
      </c>
      <c r="D36" s="21" t="inlineStr">
        <is>
          <t>Verify that the client validates that the ID Token is intended to be used for that client (audience) by checking that the 'aud' claim from the token is equal to the 'client_id' value for the client.</t>
        </is>
      </c>
      <c r="E36" s="17" t="n">
        <v>2</v>
      </c>
      <c r="F36" s="18" t="inlineStr">
        <is>
          <t>Not Applicable</t>
        </is>
      </c>
      <c r="G36" s="32" t="inlineStr">
        <is>
          <t>Application does not use OAuth2 or OpenID Connect; authentication is handled internally via backend-managed sessions and RBAC.</t>
        </is>
      </c>
      <c r="H36" s="21" t="inlineStr">
        <is>
          <t>DESOFS Phase 1: §5.1 RS1-RS3; §2.2 Assumptions</t>
        </is>
      </c>
    </row>
    <row r="37" ht="105" customHeight="1" s="35">
      <c r="A37" s="14" t="inlineStr">
        <is>
          <t>V10.5</t>
        </is>
      </c>
      <c r="B37" s="14" t="inlineStr">
        <is>
          <t>OIDC Client</t>
        </is>
      </c>
      <c r="C37" s="15" t="inlineStr">
        <is>
          <t>V10.5.5</t>
        </is>
      </c>
      <c r="D37" s="16"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17" t="n">
        <v>2</v>
      </c>
      <c r="F37" s="18" t="inlineStr">
        <is>
          <t>Not Applicable</t>
        </is>
      </c>
      <c r="G37" s="16" t="inlineStr">
        <is>
          <t>Application does not use OAuth2 or OpenID Connect; authentication is handled internally via backend-managed sessions and RBAC.</t>
        </is>
      </c>
      <c r="H37" s="16" t="inlineStr">
        <is>
          <t>DESOFS Phase 1: §5.1 RS1-RS3; §2.2 Assumptions</t>
        </is>
      </c>
    </row>
    <row r="38" ht="18" customHeight="1" s="35">
      <c r="A38" s="13" t="inlineStr">
        <is>
          <t>V10.6</t>
        </is>
      </c>
      <c r="B38" s="13" t="inlineStr">
        <is>
          <t>OpenID Provider</t>
        </is>
      </c>
      <c r="C38" s="13" t="n"/>
      <c r="D38" s="13" t="n"/>
      <c r="E38" s="13" t="n"/>
      <c r="F38" s="13" t="n"/>
      <c r="G38" s="13" t="n"/>
      <c r="H38" s="13" t="n"/>
    </row>
    <row r="39" ht="60" customHeight="1" s="35">
      <c r="A39" s="14" t="inlineStr">
        <is>
          <t>V10.6</t>
        </is>
      </c>
      <c r="B39" s="14" t="inlineStr">
        <is>
          <t>OpenID Provider</t>
        </is>
      </c>
      <c r="C39" s="15" t="inlineStr">
        <is>
          <t>V10.6.1</t>
        </is>
      </c>
      <c r="D39" s="16" t="inlineStr">
        <is>
          <t>Verify that the OpenID Provider only allows values 'code', 'ciba', 'id_token', or 'id_token code' for response mode. Note that 'code' is preferred over 'id_token code' (the OIDC Hybrid flow), and 'token' (any Implicit flow) must not be used.</t>
        </is>
      </c>
      <c r="E39" s="17" t="n">
        <v>2</v>
      </c>
      <c r="F39" s="18" t="inlineStr">
        <is>
          <t>Not Applicable</t>
        </is>
      </c>
      <c r="G39" s="16" t="inlineStr">
        <is>
          <t>Application does not use OAuth2 or OpenID Connect; authentication is handled internally via backend-managed sessions and RBAC.</t>
        </is>
      </c>
      <c r="H39" s="16" t="inlineStr">
        <is>
          <t>DESOFS Phase 1: §5.1 RS1-RS3; §2.2 Assumptions</t>
        </is>
      </c>
    </row>
    <row r="40" ht="75" customHeight="1" s="35">
      <c r="A40" s="19" t="inlineStr">
        <is>
          <t>V10.6</t>
        </is>
      </c>
      <c r="B40" s="19" t="inlineStr">
        <is>
          <t>OpenID Provider</t>
        </is>
      </c>
      <c r="C40" s="20" t="inlineStr">
        <is>
          <t>V10.6.2</t>
        </is>
      </c>
      <c r="D40" s="21" t="inlineStr">
        <is>
          <t>Verify that the OpenID Provider mitigates denial of service through forced logout. By obtaining explicit confirmation from the end-user or, if present, validating parameters in the logout request (initiated by the relying party), such as the 'id_token_hint'.</t>
        </is>
      </c>
      <c r="E40" s="17" t="n">
        <v>2</v>
      </c>
      <c r="F40" s="18" t="inlineStr">
        <is>
          <t>Not Applicable</t>
        </is>
      </c>
      <c r="G40" s="32" t="inlineStr">
        <is>
          <t>Application does not use OAuth2 or OpenID Connect; authentication is handled internally via backend-managed sessions and RBAC.</t>
        </is>
      </c>
      <c r="H40" s="21" t="inlineStr">
        <is>
          <t>DESOFS Phase 1: §5.1 RS1-RS3; §2.2 Assumptions</t>
        </is>
      </c>
    </row>
    <row r="41" ht="18" customHeight="1" s="35">
      <c r="A41" s="13" t="inlineStr">
        <is>
          <t>V10.7</t>
        </is>
      </c>
      <c r="B41" s="13" t="inlineStr">
        <is>
          <t>Consent Management</t>
        </is>
      </c>
      <c r="C41" s="13" t="n"/>
      <c r="D41" s="13" t="n"/>
      <c r="E41" s="13" t="n"/>
      <c r="F41" s="13" t="n"/>
      <c r="G41" s="13" t="n"/>
      <c r="H41" s="13" t="n"/>
    </row>
    <row r="42" ht="60" customHeight="1" s="35">
      <c r="A42" s="14" t="inlineStr">
        <is>
          <t>V10.7</t>
        </is>
      </c>
      <c r="B42" s="14" t="inlineStr">
        <is>
          <t>Consent Management</t>
        </is>
      </c>
      <c r="C42" s="15" t="inlineStr">
        <is>
          <t>V10.7.1</t>
        </is>
      </c>
      <c r="D42" s="16" t="inlineStr">
        <is>
          <t>Verify that the authorization server ensures that the user consents to each authorization request. If the identity of the client cannot be assured, the authorization server must always explicitly prompt the user for consent.</t>
        </is>
      </c>
      <c r="E42" s="17" t="n">
        <v>2</v>
      </c>
      <c r="F42" s="18" t="inlineStr">
        <is>
          <t>Not Applicable</t>
        </is>
      </c>
      <c r="G42" s="16" t="inlineStr">
        <is>
          <t>Application does not use OAuth2 or OpenID Connect; authentication is handled internally via backend-managed sessions and RBAC.</t>
        </is>
      </c>
      <c r="H42" s="16" t="inlineStr">
        <is>
          <t>DESOFS Phase 1: §5.1 RS1-RS3; §2.2 Assumptions</t>
        </is>
      </c>
    </row>
    <row r="43" ht="105" customHeight="1" s="35">
      <c r="A43" s="19" t="inlineStr">
        <is>
          <t>V10.7</t>
        </is>
      </c>
      <c r="B43" s="19" t="inlineStr">
        <is>
          <t>Consent Management</t>
        </is>
      </c>
      <c r="C43" s="20" t="inlineStr">
        <is>
          <t>V10.7.2</t>
        </is>
      </c>
      <c r="D43" s="21"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17" t="n">
        <v>2</v>
      </c>
      <c r="F43" s="18" t="inlineStr">
        <is>
          <t>Not Applicable</t>
        </is>
      </c>
      <c r="G43" s="32" t="inlineStr">
        <is>
          <t>Application does not use OAuth2 or OpenID Connect; authentication is handled internally via backend-managed sessions and RBAC.</t>
        </is>
      </c>
      <c r="H43" s="32" t="inlineStr">
        <is>
          <t>DESOFS Phase 1: §5.1 RS1-RS3; §2.2 Assumptions</t>
        </is>
      </c>
    </row>
    <row r="44" ht="60" customHeight="1" s="35">
      <c r="A44" s="14" t="inlineStr">
        <is>
          <t>V10.7</t>
        </is>
      </c>
      <c r="B44" s="14" t="inlineStr">
        <is>
          <t>Consent Management</t>
        </is>
      </c>
      <c r="C44" s="15" t="inlineStr">
        <is>
          <t>V10.7.3</t>
        </is>
      </c>
      <c r="D44" s="16" t="inlineStr">
        <is>
          <t>Verify that the user can review, modify, and revoke consents which the user has granted through the authorization server.</t>
        </is>
      </c>
      <c r="E44" s="17" t="n">
        <v>2</v>
      </c>
      <c r="F44" s="18" t="inlineStr">
        <is>
          <t>Not Applicable</t>
        </is>
      </c>
      <c r="G44" s="16" t="inlineStr">
        <is>
          <t>Application does not use OAuth2 or OpenID Connect; authentication is handled internally via backend-managed sessions and RBAC.</t>
        </is>
      </c>
      <c r="H44" s="16" t="inlineStr">
        <is>
          <t>DESOFS Phase 1: §5.1 RS1-RS3; §2.2 Assumptions</t>
        </is>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44"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32"/>
  <sheetViews>
    <sheetView topLeftCell="A14" zoomScale="70" zoomScaleNormal="70" workbookViewId="0">
      <selection activeCell="G31" sqref="G31"/>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V11.1</t>
        </is>
      </c>
      <c r="B2" s="13" t="inlineStr">
        <is>
          <t>Cryptographic Inventory and Documentation</t>
        </is>
      </c>
      <c r="C2" s="13" t="n"/>
      <c r="D2" s="13" t="n"/>
      <c r="E2" s="13" t="n"/>
      <c r="F2" s="13" t="n"/>
      <c r="G2" s="13" t="n"/>
      <c r="H2" s="13" t="n"/>
    </row>
    <row r="3" ht="90" customHeight="1" s="35">
      <c r="A3" s="14" t="inlineStr">
        <is>
          <t>V11.1</t>
        </is>
      </c>
      <c r="B3" s="14" t="inlineStr">
        <is>
          <t>Cryptographic Inventory and Documentation</t>
        </is>
      </c>
      <c r="C3" s="15" t="inlineStr">
        <is>
          <t>V11.1.1</t>
        </is>
      </c>
      <c r="D3" s="16"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17" t="n">
        <v>2</v>
      </c>
      <c r="F3" s="18" t="inlineStr">
        <is>
          <t>In Progress</t>
        </is>
      </c>
      <c r="G3" s="16" t="inlineStr">
        <is>
          <t>JWT and backup HMAC keys have key identifiers and rotation hooks, but an external KMS/vault lifecycle with owner, rotation schedule and destruction workflow is not implemented.</t>
        </is>
      </c>
      <c r="H3" s="16" t="inlineStr">
        <is>
          <t>JwtService.java; BackupService.java; SECURE_INSTALLATION.md</t>
        </is>
      </c>
    </row>
    <row r="4" ht="90" customHeight="1" s="35">
      <c r="A4" s="19" t="inlineStr">
        <is>
          <t>V11.1</t>
        </is>
      </c>
      <c r="B4" s="19" t="inlineStr">
        <is>
          <t>Cryptographic Inventory and Documentation</t>
        </is>
      </c>
      <c r="C4" s="20" t="inlineStr">
        <is>
          <t>V11.1.2</t>
        </is>
      </c>
      <c r="D4" s="21"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17" t="n">
        <v>2</v>
      </c>
      <c r="F4" s="18" t="inlineStr">
        <is>
          <t>Compliant</t>
        </is>
      </c>
      <c r="G4" s="41" t="inlineStr">
        <is>
          <t>Cryptographic/library inventory is maintained through dependency tree, SCA, SBOM and SCA triage documentation.</t>
        </is>
      </c>
      <c r="H4" s="41" t="inlineStr">
        <is>
          <t>SCA_TRIAGE.md; DEVSECOPS_PIPELINE.md; CycloneDX SBOM</t>
        </is>
      </c>
    </row>
    <row r="5" ht="75" customHeight="1" s="35">
      <c r="A5" s="14" t="inlineStr">
        <is>
          <t>V11.1</t>
        </is>
      </c>
      <c r="B5" s="14" t="inlineStr">
        <is>
          <t>Cryptographic Inventory and Documentation</t>
        </is>
      </c>
      <c r="C5" s="15" t="inlineStr">
        <is>
          <t>V11.1.3</t>
        </is>
      </c>
      <c r="D5" s="16" t="inlineStr">
        <is>
          <t>Verify that cryptographic discovery mechanisms are employed to identify all instances of cryptography in the system, including encryption, hashing, and signing operations.</t>
        </is>
      </c>
      <c r="E5" s="23" t="n">
        <v>3</v>
      </c>
      <c r="F5" s="18" t="inlineStr">
        <is>
          <t>Not Started</t>
        </is>
      </c>
      <c r="G5" s="16" t="inlineStr">
        <is>
          <t>Cryptographic controls (hashing, TLS, token generation) are required by design, but specific algorithms, key management practices, and implementation details are not yet formally defined in Phase 1.</t>
        </is>
      </c>
      <c r="H5" s="16" t="inlineStr">
        <is>
          <t>DESOFS Phase 1: §5.3 RS8; §2.2 Assumptions (TLS); §11 hashing of codes/files</t>
        </is>
      </c>
    </row>
    <row r="6" ht="75" customHeight="1" s="35">
      <c r="A6" s="19" t="inlineStr">
        <is>
          <t>V11.1</t>
        </is>
      </c>
      <c r="B6" s="19" t="inlineStr">
        <is>
          <t>Cryptographic Inventory and Documentation</t>
        </is>
      </c>
      <c r="C6" s="20" t="inlineStr">
        <is>
          <t>V11.1.4</t>
        </is>
      </c>
      <c r="D6" s="21" t="inlineStr">
        <is>
          <t>Verify that a cryptographic inventory is maintained. This must include a documented plan that outlines the migration path to new cryptographic standards, such as post-quantum cryptography, in order to react to future threats.</t>
        </is>
      </c>
      <c r="E6" s="23" t="n">
        <v>3</v>
      </c>
      <c r="F6" s="18" t="inlineStr">
        <is>
          <t>Not Started</t>
        </is>
      </c>
      <c r="G6" s="21" t="inlineStr">
        <is>
          <t>Cryptographic controls (hashing, TLS, token generation) are required by design, but specific algorithms, key management practices, and implementation details are not yet formally defined in Phase 1.</t>
        </is>
      </c>
      <c r="H6" s="21" t="inlineStr">
        <is>
          <t>DESOFS Phase 1: §5.3 RS8; §2.2 Assumptions (TLS); §11 hashing of codes/files</t>
        </is>
      </c>
    </row>
    <row r="7" ht="18" customHeight="1" s="35">
      <c r="A7" s="13" t="inlineStr">
        <is>
          <t>V11.2</t>
        </is>
      </c>
      <c r="B7" s="13" t="inlineStr">
        <is>
          <t>Secure Cryptography Implementation</t>
        </is>
      </c>
      <c r="C7" s="13" t="n"/>
      <c r="D7" s="13" t="n"/>
      <c r="E7" s="13" t="n"/>
      <c r="F7" s="13" t="n"/>
      <c r="G7" s="13" t="n"/>
      <c r="H7" s="13" t="n"/>
    </row>
    <row r="8" ht="75" customHeight="1" s="35">
      <c r="A8" s="14" t="inlineStr">
        <is>
          <t>V11.2</t>
        </is>
      </c>
      <c r="B8" s="14" t="inlineStr">
        <is>
          <t>Secure Cryptography Implementation</t>
        </is>
      </c>
      <c r="C8" s="15" t="inlineStr">
        <is>
          <t>V11.2.1</t>
        </is>
      </c>
      <c r="D8" s="16" t="inlineStr">
        <is>
          <t>Verify that industry-validated implementations (including libraries and hardware-accelerated implementations) are used for cryptographic operations.</t>
        </is>
      </c>
      <c r="E8" s="17" t="n">
        <v>2</v>
      </c>
      <c r="F8" s="18" t="inlineStr">
        <is>
          <t>Compliant</t>
        </is>
      </c>
      <c r="G8" s="40" t="inlineStr">
        <is>
          <t>Password hashing/JWT/security primitives use established Spring/Security/JJWT libraries rather than custom crypto.</t>
        </is>
      </c>
      <c r="H8" s="40" t="inlineStr">
        <is>
          <t>pom.xml; PasswordEncoder config; JwtService.java</t>
        </is>
      </c>
    </row>
    <row r="9" ht="135" customHeight="1" s="35">
      <c r="A9" s="19" t="inlineStr">
        <is>
          <t>V11.2</t>
        </is>
      </c>
      <c r="B9" s="19" t="inlineStr">
        <is>
          <t>Secure Cryptography Implementation</t>
        </is>
      </c>
      <c r="C9" s="20" t="inlineStr">
        <is>
          <t>V11.2.2</t>
        </is>
      </c>
      <c r="D9" s="21"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17" t="n">
        <v>2</v>
      </c>
      <c r="F9" s="18" t="inlineStr">
        <is>
          <t>Compliant</t>
        </is>
      </c>
      <c r="G9" s="21" t="inlineStr">
        <is>
          <t>Crypto-relevant keys are externally configured with active/previous JWT kid support and backup HMAC key id, allowing controlled rotation without code changes.</t>
        </is>
      </c>
      <c r="H9" s="21" t="inlineStr">
        <is>
          <t>JwtService.java; BackupService.java; SecurityConfigurationValidator.java</t>
        </is>
      </c>
    </row>
    <row r="10" ht="75" customHeight="1" s="35">
      <c r="A10" s="14" t="inlineStr">
        <is>
          <t>V11.2</t>
        </is>
      </c>
      <c r="B10" s="14" t="inlineStr">
        <is>
          <t>Secure Cryptography Implementation</t>
        </is>
      </c>
      <c r="C10" s="15" t="inlineStr">
        <is>
          <t>V11.2.3</t>
        </is>
      </c>
      <c r="D10" s="16"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17" t="n">
        <v>2</v>
      </c>
      <c r="F10" s="18" t="inlineStr">
        <is>
          <t>Compliant</t>
        </is>
      </c>
      <c r="G10" s="40" t="inlineStr">
        <is>
          <t>Token generation, tracking code generation and password hashing use framework/library-backed cryptographic primitives.</t>
        </is>
      </c>
      <c r="H10" s="40" t="inlineStr">
        <is>
          <t>JwtService.java; TrackingCode.java; SecurityConfig.java</t>
        </is>
      </c>
    </row>
    <row r="11" ht="75" customHeight="1" s="35">
      <c r="A11" s="19" t="inlineStr">
        <is>
          <t>V11.2</t>
        </is>
      </c>
      <c r="B11" s="19" t="inlineStr">
        <is>
          <t>Secure Cryptography Implementation</t>
        </is>
      </c>
      <c r="C11" s="20" t="inlineStr">
        <is>
          <t>V11.2.4</t>
        </is>
      </c>
      <c r="D11" s="21" t="inlineStr">
        <is>
          <t>Verify that all cryptographic operations are constant-time, with no 'short-circuit' operations in comparisons, calculations, or returns, to avoid leaking information.</t>
        </is>
      </c>
      <c r="E11" s="23" t="n">
        <v>3</v>
      </c>
      <c r="F11" s="18" t="inlineStr">
        <is>
          <t>In Progress</t>
        </is>
      </c>
      <c r="G11" s="21" t="inlineStr">
        <is>
          <t>BCrypt verification is delegated to Spring Security, but custom JWT signature comparison uses String.equals and no constant-time verification evidence was found.</t>
        </is>
      </c>
      <c r="H11" s="21" t="inlineStr">
        <is>
          <t>JwtService.java; SecurityConfig.java</t>
        </is>
      </c>
    </row>
    <row r="12" ht="60" customHeight="1" s="35">
      <c r="A12" s="14" t="inlineStr">
        <is>
          <t>V11.2</t>
        </is>
      </c>
      <c r="B12" s="14" t="inlineStr">
        <is>
          <t>Secure Cryptography Implementation</t>
        </is>
      </c>
      <c r="C12" s="15" t="inlineStr">
        <is>
          <t>V11.2.5</t>
        </is>
      </c>
      <c r="D12" s="16" t="inlineStr">
        <is>
          <t>Verify that all cryptographic modules fail securely, and errors are handled in a way that does not enable vulnerabilities, such as Padding Oracle attacks.</t>
        </is>
      </c>
      <c r="E12" s="23" t="n">
        <v>3</v>
      </c>
      <c r="F12" s="18" t="inlineStr">
        <is>
          <t>Compliant</t>
        </is>
      </c>
      <c r="G12" s="40" t="inlineStr">
        <is>
          <t>Security-sensitive failures are handled by generic error handling and do not expose stack traces in runtime evidence.</t>
        </is>
      </c>
      <c r="H12" s="40" t="inlineStr">
        <is>
          <t>GlobalExceptionHandler.java; runtime-endpoints.md</t>
        </is>
      </c>
    </row>
    <row r="13" ht="18" customHeight="1" s="35">
      <c r="A13" s="13" t="inlineStr">
        <is>
          <t>V11.3</t>
        </is>
      </c>
      <c r="B13" s="13" t="inlineStr">
        <is>
          <t>Encryption Algorithms</t>
        </is>
      </c>
      <c r="C13" s="13" t="n"/>
      <c r="D13" s="13" t="n"/>
      <c r="E13" s="13" t="n"/>
      <c r="F13" s="13" t="n"/>
      <c r="G13" s="13" t="n"/>
      <c r="H13" s="13" t="n"/>
    </row>
    <row r="14" ht="45" customHeight="1" s="35">
      <c r="A14" s="14" t="inlineStr">
        <is>
          <t>V11.3</t>
        </is>
      </c>
      <c r="B14" s="14" t="inlineStr">
        <is>
          <t>Encryption Algorithms</t>
        </is>
      </c>
      <c r="C14" s="15" t="inlineStr">
        <is>
          <t>V11.3.1</t>
        </is>
      </c>
      <c r="D14" s="16" t="inlineStr">
        <is>
          <t>Verify that insecure block modes (e.g., ECB) and weak padding schemes (e.g., PKCS#1 v1.5) are not used.</t>
        </is>
      </c>
      <c r="E14" s="22" t="n">
        <v>1</v>
      </c>
      <c r="F14" s="18" t="inlineStr">
        <is>
          <t>Not Started</t>
        </is>
      </c>
      <c r="G14" s="16" t="inlineStr">
        <is>
          <t>Cryptographic primitives should be selected safely in implementation; exact algorithms are not yet specified.</t>
        </is>
      </c>
      <c r="H14" s="16" t="inlineStr">
        <is>
          <t>DESOFS Phase 1: §5.3 RS8; §2.2 Assumptions (HTTPS/TLS)</t>
        </is>
      </c>
    </row>
    <row r="15" ht="45" customHeight="1" s="35">
      <c r="A15" s="19" t="inlineStr">
        <is>
          <t>V11.3</t>
        </is>
      </c>
      <c r="B15" s="19" t="inlineStr">
        <is>
          <t>Encryption Algorithms</t>
        </is>
      </c>
      <c r="C15" s="20" t="inlineStr">
        <is>
          <t>V11.3.2</t>
        </is>
      </c>
      <c r="D15" s="21" t="inlineStr">
        <is>
          <t>Verify that only approved ciphers and modes such as AES with GCM are used.</t>
        </is>
      </c>
      <c r="E15" s="22" t="n">
        <v>1</v>
      </c>
      <c r="F15" s="18" t="inlineStr">
        <is>
          <t>Not Started</t>
        </is>
      </c>
      <c r="G15" s="21" t="inlineStr">
        <is>
          <t>Cryptographic primitives should be selected safely in implementation; exact algorithms are not yet specified.</t>
        </is>
      </c>
      <c r="H15" s="21" t="inlineStr">
        <is>
          <t>DESOFS Phase 1: §5.3 RS8; §2.2 Assumptions (HTTPS/TLS)</t>
        </is>
      </c>
    </row>
    <row r="16" ht="60" customHeight="1" s="35">
      <c r="A16" s="14" t="inlineStr">
        <is>
          <t>V11.3</t>
        </is>
      </c>
      <c r="B16" s="14" t="inlineStr">
        <is>
          <t>Encryption Algorithms</t>
        </is>
      </c>
      <c r="C16" s="15" t="inlineStr">
        <is>
          <t>V11.3.3</t>
        </is>
      </c>
      <c r="D16" s="16" t="inlineStr">
        <is>
          <t>Verify that encrypted data is protected against unauthorized modification preferably by using an approved authenticated encryption method or by combining an approved encryption method with an approved MAC algorithm.</t>
        </is>
      </c>
      <c r="E16" s="17" t="n">
        <v>2</v>
      </c>
      <c r="F16" s="18" t="inlineStr">
        <is>
          <t>Compliant</t>
        </is>
      </c>
      <c r="G16" s="16" t="inlineStr">
        <is>
          <t>Integrity-sensitive data is protected with HMAC/hashes: JWT HMAC signatures, backup manifest HMAC, audit/security integrity hashes and package hash verification.</t>
        </is>
      </c>
      <c r="H16" s="16" t="inlineStr">
        <is>
          <t>JwtService.java; BackupService.java; AuditLogService.java; SecurityMonitoringService.java; CasePackageService.java</t>
        </is>
      </c>
    </row>
    <row r="17" ht="60" customHeight="1" s="35">
      <c r="A17" s="19" t="inlineStr">
        <is>
          <t>V11.3</t>
        </is>
      </c>
      <c r="B17" s="19" t="inlineStr">
        <is>
          <t>Encryption Algorithms</t>
        </is>
      </c>
      <c r="C17" s="20" t="inlineStr">
        <is>
          <t>V11.3.4</t>
        </is>
      </c>
      <c r="D17" s="21" t="inlineStr">
        <is>
          <t>Verify that nonces, initialization vectors, and other single-use numbers are not used for more than one encryption key and data-element pair. The method of generation must be appropriate for the algorithm being used.</t>
        </is>
      </c>
      <c r="E17" s="23" t="n">
        <v>3</v>
      </c>
      <c r="F17" s="18" t="inlineStr">
        <is>
          <t>Not Started</t>
        </is>
      </c>
      <c r="G17" s="21" t="inlineStr">
        <is>
          <t>This is advanced crypto-hardening detail not yet covered in Phase 1 documentation.</t>
        </is>
      </c>
      <c r="H17" s="21" t="inlineStr">
        <is>
          <t>DESOFS Phase 1: §5.3 RS8; §2.2 Assumptions (HTTPS/TLS)</t>
        </is>
      </c>
    </row>
    <row r="18" ht="30" customHeight="1" s="35">
      <c r="A18" s="14" t="inlineStr">
        <is>
          <t>V11.3</t>
        </is>
      </c>
      <c r="B18" s="14" t="inlineStr">
        <is>
          <t>Encryption Algorithms</t>
        </is>
      </c>
      <c r="C18" s="15" t="inlineStr">
        <is>
          <t>V11.3.5</t>
        </is>
      </c>
      <c r="D18" s="16" t="inlineStr">
        <is>
          <t>Verify that any combination of an encryption algorithm and a MAC algorithm is operating in encrypt-then-MAC mode.</t>
        </is>
      </c>
      <c r="E18" s="23" t="n">
        <v>3</v>
      </c>
      <c r="F18" s="18" t="inlineStr">
        <is>
          <t>Not Started</t>
        </is>
      </c>
      <c r="G18" s="16" t="inlineStr">
        <is>
          <t>This is advanced crypto-hardening detail not yet covered in Phase 1 documentation.</t>
        </is>
      </c>
      <c r="H18" s="16" t="inlineStr">
        <is>
          <t>DESOFS Phase 1: §5.3 RS8; §2.2 Assumptions (HTTPS/TLS)</t>
        </is>
      </c>
    </row>
    <row r="19" ht="18" customHeight="1" s="35">
      <c r="A19" s="13" t="inlineStr">
        <is>
          <t>V11.4</t>
        </is>
      </c>
      <c r="B19" s="13" t="inlineStr">
        <is>
          <t>Hashing and Hash-based Functions</t>
        </is>
      </c>
      <c r="C19" s="13" t="n"/>
      <c r="D19" s="13" t="n"/>
      <c r="E19" s="13" t="n"/>
      <c r="F19" s="13" t="n"/>
      <c r="G19" s="13" t="n"/>
      <c r="H19" s="13" t="n"/>
    </row>
    <row r="20" ht="60" customHeight="1" s="35">
      <c r="A20" s="14" t="inlineStr">
        <is>
          <t>V11.4</t>
        </is>
      </c>
      <c r="B20" s="14" t="inlineStr">
        <is>
          <t>Hashing and Hash-based Functions</t>
        </is>
      </c>
      <c r="C20" s="15" t="inlineStr">
        <is>
          <t>V11.4.1</t>
        </is>
      </c>
      <c r="D20" s="16" t="inlineStr">
        <is>
          <t>Verify that only approved hash functions are used for general cryptographic use cases, including digital signatures, HMAC, KDF, and random bit generation. Disallowed hash functions, such as MD5, must not be used for any cryptographic purpose.</t>
        </is>
      </c>
      <c r="E20" s="22" t="n">
        <v>1</v>
      </c>
      <c r="F20" s="18" t="inlineStr">
        <is>
          <t>Compliant</t>
        </is>
      </c>
      <c r="G20" s="16" t="inlineStr">
        <is>
          <t>Only SHA-256, HmacSHA256 and BCrypt were found for cryptographic hashing/signing; no MD5 or SHA-1 cryptographic use was found.</t>
        </is>
      </c>
      <c r="H20" s="16" t="inlineStr">
        <is>
          <t>JwtService.java; FileStorageService.java; BackupService.java; CasePackageService.java</t>
        </is>
      </c>
    </row>
    <row r="21" ht="90" customHeight="1" s="35">
      <c r="A21" s="19" t="inlineStr">
        <is>
          <t>V11.4</t>
        </is>
      </c>
      <c r="B21" s="19" t="inlineStr">
        <is>
          <t>Hashing and Hash-based Functions</t>
        </is>
      </c>
      <c r="C21" s="20" t="inlineStr">
        <is>
          <t>V11.4.2</t>
        </is>
      </c>
      <c r="D21" s="21"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17" t="n">
        <v>2</v>
      </c>
      <c r="F21" s="18" t="inlineStr">
        <is>
          <t>Compliant</t>
        </is>
      </c>
      <c r="G21" s="21" t="inlineStr">
        <is>
          <t>Staff passwords are stored using BCryptPasswordEncoder before persistence; no plaintext password storage path was found.</t>
        </is>
      </c>
      <c r="H21" s="21" t="inlineStr">
        <is>
          <t>SecurityConfig.java; UserService.java; User.java; AuthService.java</t>
        </is>
      </c>
    </row>
    <row r="22" ht="90" customHeight="1" s="35">
      <c r="A22" s="14" t="inlineStr">
        <is>
          <t>V11.4</t>
        </is>
      </c>
      <c r="B22" s="14" t="inlineStr">
        <is>
          <t>Hashing and Hash-based Functions</t>
        </is>
      </c>
      <c r="C22" s="15" t="inlineStr">
        <is>
          <t>V11.4.3</t>
        </is>
      </c>
      <c r="D22" s="16"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17" t="n">
        <v>2</v>
      </c>
      <c r="F22" s="18" t="inlineStr">
        <is>
          <t>Compliant</t>
        </is>
      </c>
      <c r="G22" s="16" t="inlineStr">
        <is>
          <t>File, backup and evidence package integrity uses SHA-256 hashes with verification tests for tampering.</t>
        </is>
      </c>
      <c r="H22" s="16" t="inlineStr">
        <is>
          <t>FileStorageService.java; BackupService.java; CasePackageService.java; BackupServiceIntegrationTest; AuditorAuthorizationTest</t>
        </is>
      </c>
    </row>
    <row r="23" ht="75" customHeight="1" s="35">
      <c r="A23" s="19" t="inlineStr">
        <is>
          <t>V11.4</t>
        </is>
      </c>
      <c r="B23" s="19" t="inlineStr">
        <is>
          <t>Hashing and Hash-based Functions</t>
        </is>
      </c>
      <c r="C23" s="20" t="inlineStr">
        <is>
          <t>V11.4.4</t>
        </is>
      </c>
      <c r="D23" s="21"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17" t="n">
        <v>2</v>
      </c>
      <c r="F23" s="18" t="inlineStr">
        <is>
          <t>Not Applicable</t>
        </is>
      </c>
      <c r="G23" s="21" t="inlineStr">
        <is>
          <t>Not applicable in the current system design.</t>
        </is>
      </c>
      <c r="H23" s="21" t="inlineStr">
        <is>
          <t>N/A – not in current system scope</t>
        </is>
      </c>
    </row>
    <row r="24" ht="18" customHeight="1" s="35">
      <c r="A24" s="13" t="inlineStr">
        <is>
          <t>V11.5</t>
        </is>
      </c>
      <c r="B24" s="13" t="inlineStr">
        <is>
          <t>Random Values</t>
        </is>
      </c>
      <c r="C24" s="13" t="n"/>
      <c r="D24" s="13" t="n"/>
      <c r="E24" s="13" t="n"/>
      <c r="F24" s="13" t="n"/>
      <c r="G24" s="13" t="n"/>
      <c r="H24" s="13" t="n"/>
    </row>
    <row r="25" ht="75" customHeight="1" s="35">
      <c r="A25" s="14" t="inlineStr">
        <is>
          <t>V11.5</t>
        </is>
      </c>
      <c r="B25" s="14" t="inlineStr">
        <is>
          <t>Random Values</t>
        </is>
      </c>
      <c r="C25" s="15" t="inlineStr">
        <is>
          <t>V11.5.1</t>
        </is>
      </c>
      <c r="D25" s="16"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17" t="n">
        <v>2</v>
      </c>
      <c r="F25" s="18" t="inlineStr">
        <is>
          <t>Compliant</t>
        </is>
      </c>
      <c r="G25" s="16" t="inlineStr">
        <is>
          <t>Tracking codes are generated with SecureRandom using 18 random bytes and validated with a constrained format.</t>
        </is>
      </c>
      <c r="H25" s="16" t="inlineStr">
        <is>
          <t>TrackingCode.java; PublicReportFlowIntegrationTest</t>
        </is>
      </c>
    </row>
    <row r="26" ht="45" customHeight="1" s="35">
      <c r="A26" s="19" t="inlineStr">
        <is>
          <t>V11.5</t>
        </is>
      </c>
      <c r="B26" s="19" t="inlineStr">
        <is>
          <t>Random Values</t>
        </is>
      </c>
      <c r="C26" s="20" t="inlineStr">
        <is>
          <t>V11.5.2</t>
        </is>
      </c>
      <c r="D26" s="21" t="inlineStr">
        <is>
          <t>Verify that the random number generation mechanism in use is designed to work securely, even under heavy demand.</t>
        </is>
      </c>
      <c r="E26" s="23" t="n">
        <v>3</v>
      </c>
      <c r="F26" s="18" t="inlineStr">
        <is>
          <t>In Progress</t>
        </is>
      </c>
      <c r="G26" s="21" t="inlineStr">
        <is>
          <t>SecureRandom is used for tracking codes, but no high-demand randomness or exhaustion tests were found.</t>
        </is>
      </c>
      <c r="H26" s="21" t="inlineStr">
        <is>
          <t>TrackingCode.java</t>
        </is>
      </c>
    </row>
    <row r="27" ht="18" customHeight="1" s="35">
      <c r="A27" s="13" t="inlineStr">
        <is>
          <t>V11.6</t>
        </is>
      </c>
      <c r="B27" s="13" t="inlineStr">
        <is>
          <t>Public Key Cryptography</t>
        </is>
      </c>
      <c r="C27" s="13" t="n"/>
      <c r="D27" s="13" t="n"/>
      <c r="E27" s="13" t="n"/>
      <c r="F27" s="13" t="n"/>
      <c r="G27" s="13" t="n"/>
      <c r="H27" s="13" t="n"/>
    </row>
    <row r="28" ht="90" customHeight="1" s="35">
      <c r="A28" s="14" t="inlineStr">
        <is>
          <t>V11.6</t>
        </is>
      </c>
      <c r="B28" s="14" t="inlineStr">
        <is>
          <t>Public Key Cryptography</t>
        </is>
      </c>
      <c r="C28" s="15" t="inlineStr">
        <is>
          <t>V11.6.1</t>
        </is>
      </c>
      <c r="D28" s="16"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17" t="n">
        <v>2</v>
      </c>
      <c r="F28" s="18" t="inlineStr">
        <is>
          <t>Not Applicable</t>
        </is>
      </c>
      <c r="G28" s="16" t="inlineStr">
        <is>
          <t>No public-key cryptographic authentication, encryption or signature algorithms are implemented by the application.</t>
        </is>
      </c>
      <c r="H28" s="16" t="inlineStr">
        <is>
          <t>N/A – public-key application crypto not in current Sprint 1 scope</t>
        </is>
      </c>
    </row>
    <row r="29" ht="75" customHeight="1" s="35">
      <c r="A29" s="19" t="inlineStr">
        <is>
          <t>V11.6</t>
        </is>
      </c>
      <c r="B29" s="19" t="inlineStr">
        <is>
          <t>Public Key Cryptography</t>
        </is>
      </c>
      <c r="C29" s="20" t="inlineStr">
        <is>
          <t>V11.6.2</t>
        </is>
      </c>
      <c r="D29" s="21"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23" t="n">
        <v>3</v>
      </c>
      <c r="F29" s="18" t="inlineStr">
        <is>
          <t>Not Applicable</t>
        </is>
      </c>
      <c r="G29" s="21" t="inlineStr">
        <is>
          <t>No application-managed key exchange protocol is implemented; TLS key exchange is deployment/platform controlled.</t>
        </is>
      </c>
      <c r="H29" s="21" t="inlineStr">
        <is>
          <t>N/A – application key exchange not in current Sprint 1 scope</t>
        </is>
      </c>
    </row>
    <row r="30" ht="18" customHeight="1" s="35">
      <c r="A30" s="13" t="inlineStr">
        <is>
          <t>V11.7</t>
        </is>
      </c>
      <c r="B30" s="13" t="inlineStr">
        <is>
          <t>In-Use Data Cryptography</t>
        </is>
      </c>
      <c r="C30" s="13" t="n"/>
      <c r="D30" s="13" t="n"/>
      <c r="E30" s="13" t="n"/>
      <c r="F30" s="13" t="n"/>
      <c r="G30" s="13" t="n"/>
      <c r="H30" s="13" t="n"/>
    </row>
    <row r="31" ht="45" customHeight="1" s="35">
      <c r="A31" s="14" t="inlineStr">
        <is>
          <t>V11.7</t>
        </is>
      </c>
      <c r="B31" s="14" t="inlineStr">
        <is>
          <t>In-Use Data Cryptography</t>
        </is>
      </c>
      <c r="C31" s="15" t="inlineStr">
        <is>
          <t>V11.7.1</t>
        </is>
      </c>
      <c r="D31" s="16" t="inlineStr">
        <is>
          <t>Verify that full memory encryption is in use that protects sensitive data while it is in use, preventing access by unauthorized users or processes.</t>
        </is>
      </c>
      <c r="E31" s="23" t="n">
        <v>3</v>
      </c>
      <c r="F31" s="18" t="inlineStr">
        <is>
          <t>Not Started</t>
        </is>
      </c>
      <c r="G31" s="16" t="inlineStr">
        <is>
          <t>This is advanced crypto-hardening detail not yet covered in Phase 1 documentation.</t>
        </is>
      </c>
      <c r="H31" s="16" t="inlineStr">
        <is>
          <t>DESOFS Phase 1: §5.2 RS4-RS6</t>
        </is>
      </c>
    </row>
    <row r="32" ht="45" customHeight="1" s="35">
      <c r="A32" s="19" t="inlineStr">
        <is>
          <t>V11.7</t>
        </is>
      </c>
      <c r="B32" s="19" t="inlineStr">
        <is>
          <t>In-Use Data Cryptography</t>
        </is>
      </c>
      <c r="C32" s="20" t="inlineStr">
        <is>
          <t>V11.7.2</t>
        </is>
      </c>
      <c r="D32" s="21" t="inlineStr">
        <is>
          <t>Verify that data minimization ensures the minimal amount of data is exposed during processing, and ensure that data is encrypted immediately after use or as soon as feasible.</t>
        </is>
      </c>
      <c r="E32" s="23" t="n">
        <v>3</v>
      </c>
      <c r="F32" s="18" t="inlineStr">
        <is>
          <t>In Progress</t>
        </is>
      </c>
      <c r="G32" s="21" t="inlineStr">
        <is>
          <t>HSTS is configured and HTTPS/TLS is mentioned, but TLS protocol versions are not explicitly configured or tested in application/deployment files.</t>
        </is>
      </c>
      <c r="H32" s="21" t="inlineStr">
        <is>
          <t>SecurityConfig.java; README.md; application.yaml</t>
        </is>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2"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6"/>
  <sheetViews>
    <sheetView topLeftCell="A6" zoomScale="80" zoomScaleNormal="80" workbookViewId="0">
      <selection activeCell="F13" sqref="F1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V12.1</t>
        </is>
      </c>
      <c r="B2" s="13" t="inlineStr">
        <is>
          <t>General TLS Security Guidance</t>
        </is>
      </c>
      <c r="C2" s="13" t="n"/>
      <c r="D2" s="13" t="n"/>
      <c r="E2" s="13" t="n"/>
      <c r="F2" s="13" t="n"/>
      <c r="G2" s="13" t="n"/>
      <c r="H2" s="13" t="n"/>
    </row>
    <row r="3" ht="45" customHeight="1" s="35">
      <c r="A3" s="14" t="inlineStr">
        <is>
          <t>V12.1</t>
        </is>
      </c>
      <c r="B3" s="14" t="inlineStr">
        <is>
          <t>General TLS Security Guidance</t>
        </is>
      </c>
      <c r="C3" s="15" t="inlineStr">
        <is>
          <t>V12.1.1</t>
        </is>
      </c>
      <c r="D3" s="16" t="inlineStr">
        <is>
          <t>Verify that only the latest recommended versions of the TLS protocol are enabled, such as TLS 1.2 and TLS 1.3. The latest version of the TLS protocol must be the preferred option.</t>
        </is>
      </c>
      <c r="E3" s="22" t="n">
        <v>1</v>
      </c>
      <c r="F3" s="18" t="inlineStr">
        <is>
          <t>Compliant</t>
        </is>
      </c>
      <c r="G3" s="40" t="inlineStr">
        <is>
          <t>Production direct TLS mode requires server SSL plus TLSv1.2/TLSv1.3 only; reverse-proxy TLS mode requires trusted forwarded-header configuration.</t>
        </is>
      </c>
      <c r="H3" s="40" t="inlineStr">
        <is>
          <t>application-prod.yaml; SecurityConfigurationValidator.java; SecurityConfigurationValidatorTest</t>
        </is>
      </c>
    </row>
    <row r="4" ht="45" customHeight="1" s="35">
      <c r="A4" s="19" t="inlineStr">
        <is>
          <t>V12.1</t>
        </is>
      </c>
      <c r="B4" s="19" t="inlineStr">
        <is>
          <t>General TLS Security Guidance</t>
        </is>
      </c>
      <c r="C4" s="20" t="inlineStr">
        <is>
          <t>V12.1.2</t>
        </is>
      </c>
      <c r="D4" s="21" t="inlineStr">
        <is>
          <t>Verify that only recommended cipher suites are enabled, with the strongest cipher suites set as preferred. L3 applications must only support cipher suites which provide forward secrecy.</t>
        </is>
      </c>
      <c r="E4" s="17" t="n">
        <v>2</v>
      </c>
      <c r="F4" s="18" t="inlineStr">
        <is>
          <t>Compliant</t>
        </is>
      </c>
      <c r="G4" s="21" t="inlineStr">
        <is>
          <t>Production direct TLS configuration defines modern TLS 1.3/1.2 cipher defaults and the validator blocks legacy protocol configuration.</t>
        </is>
      </c>
      <c r="H4" s="21" t="inlineStr">
        <is>
          <t>application-prod.yaml; SecurityConfigurationValidator.java; SecurityConfigurationValidatorTest</t>
        </is>
      </c>
    </row>
    <row r="5" ht="45" customHeight="1" s="35">
      <c r="A5" s="14" t="inlineStr">
        <is>
          <t>V12.1</t>
        </is>
      </c>
      <c r="B5" s="14" t="inlineStr">
        <is>
          <t>General TLS Security Guidance</t>
        </is>
      </c>
      <c r="C5" s="15" t="inlineStr">
        <is>
          <t>V12.1.3</t>
        </is>
      </c>
      <c r="D5" s="16" t="inlineStr">
        <is>
          <t>Verify that the application validates that mTLS client certificates are trusted before using the certificate identity for authentication or authorization.</t>
        </is>
      </c>
      <c r="E5" s="17" t="n">
        <v>2</v>
      </c>
      <c r="F5" s="18" t="inlineStr">
        <is>
          <t>Not Applicable</t>
        </is>
      </c>
      <c r="G5" s="16" t="inlineStr">
        <is>
          <t>Not applicable – the current design does not use mutual TLS client certificates for authentication or authorization.</t>
        </is>
      </c>
      <c r="H5" s="16" t="inlineStr">
        <is>
          <t>N/A – mTLS client authentication not in current system scope</t>
        </is>
      </c>
    </row>
    <row r="6" ht="45" customHeight="1" s="35">
      <c r="A6" s="19" t="inlineStr">
        <is>
          <t>V12.1</t>
        </is>
      </c>
      <c r="B6" s="19" t="inlineStr">
        <is>
          <t>General TLS Security Guidance</t>
        </is>
      </c>
      <c r="C6" s="20" t="inlineStr">
        <is>
          <t>V12.1.4</t>
        </is>
      </c>
      <c r="D6" s="21" t="inlineStr">
        <is>
          <t>Verify that proper certification revocation, such as Online Certificate Status Protocol (OCSP) Stapling, is enabled and configured.</t>
        </is>
      </c>
      <c r="E6" s="23" t="n">
        <v>3</v>
      </c>
      <c r="F6" s="18" t="inlineStr">
        <is>
          <t>Not Started</t>
        </is>
      </c>
      <c r="G6" s="21" t="inlineStr">
        <is>
          <t>Advanced TLS features such as OCSP stapling and ECH are not required for Phase 1 and are not yet specified in the deployment configuration.</t>
        </is>
      </c>
      <c r="H6" s="21" t="inlineStr">
        <is>
          <t>DESOFS Phase 1: assumptions §2.2 HTTPS; §5.3 RS7; AC9/AC10</t>
        </is>
      </c>
    </row>
    <row r="7" ht="60" customHeight="1" s="35">
      <c r="A7" s="14" t="inlineStr">
        <is>
          <t>V12.1</t>
        </is>
      </c>
      <c r="B7" s="14" t="inlineStr">
        <is>
          <t>General TLS Security Guidance</t>
        </is>
      </c>
      <c r="C7" s="15" t="inlineStr">
        <is>
          <t>V12.1.5</t>
        </is>
      </c>
      <c r="D7" s="16" t="inlineStr">
        <is>
          <t>Verify that Encrypted Client Hello (ECH) is enabled in the application's TLS settings to prevent exposure of sensitive metadata, such as the Server Name Indication (SNI), during TLS handshake processes.</t>
        </is>
      </c>
      <c r="E7" s="23" t="n">
        <v>3</v>
      </c>
      <c r="F7" s="18" t="inlineStr">
        <is>
          <t>Not Started</t>
        </is>
      </c>
      <c r="G7" s="16" t="inlineStr">
        <is>
          <t>Advanced TLS features such as OCSP stapling and ECH are not required for Phase 1 and are not yet specified in the deployment configuration.</t>
        </is>
      </c>
      <c r="H7" s="16" t="inlineStr">
        <is>
          <t>DESOFS Phase 1: assumptions §2.2 HTTPS; §5.3 RS7; AC9/AC10</t>
        </is>
      </c>
    </row>
    <row r="8" ht="18" customHeight="1" s="35">
      <c r="A8" s="13" t="inlineStr">
        <is>
          <t>V12.2</t>
        </is>
      </c>
      <c r="B8" s="13" t="inlineStr">
        <is>
          <t>HTTPS Communication with External Facing Services</t>
        </is>
      </c>
      <c r="C8" s="13" t="n"/>
      <c r="D8" s="13" t="n"/>
      <c r="E8" s="13" t="n"/>
      <c r="F8" s="13" t="n"/>
      <c r="G8" s="13" t="n"/>
      <c r="H8" s="13" t="n"/>
    </row>
    <row r="9" ht="60" customHeight="1" s="35">
      <c r="A9" s="14" t="inlineStr">
        <is>
          <t>V12.2</t>
        </is>
      </c>
      <c r="B9" s="14" t="inlineStr">
        <is>
          <t>HTTPS Communication with External Facing Services</t>
        </is>
      </c>
      <c r="C9" s="15" t="inlineStr">
        <is>
          <t>V12.2.1</t>
        </is>
      </c>
      <c r="D9" s="16" t="inlineStr">
        <is>
          <t>Verify that TLS is used for all connectivity between a client and external facing, HTTP-based services, and does not fall back to insecure or unencrypted communications.</t>
        </is>
      </c>
      <c r="E9" s="22" t="n">
        <v>1</v>
      </c>
      <c r="F9" s="18" t="inlineStr">
        <is>
          <t>Compliant</t>
        </is>
      </c>
      <c r="G9" s="40" t="inlineStr">
        <is>
          <t>Production-like startup requires an explicit direct TLS or reverse-proxy TLS mode and rejects missing/unsafe transport configuration.</t>
        </is>
      </c>
      <c r="H9" s="40" t="inlineStr">
        <is>
          <t>SecurityConfigurationValidator.java; application-prod.yaml; SecurityConfigurationValidatorTest</t>
        </is>
      </c>
    </row>
    <row r="10" ht="30" customHeight="1" s="35">
      <c r="A10" s="19" t="inlineStr">
        <is>
          <t>V12.2</t>
        </is>
      </c>
      <c r="B10" s="19" t="inlineStr">
        <is>
          <t>HTTPS Communication with External Facing Services</t>
        </is>
      </c>
      <c r="C10" s="20" t="inlineStr">
        <is>
          <t>V12.2.2</t>
        </is>
      </c>
      <c r="D10" s="21" t="inlineStr">
        <is>
          <t>Verify that external facing services use publicly trusted TLS certificates.</t>
        </is>
      </c>
      <c r="E10" s="22" t="n">
        <v>1</v>
      </c>
      <c r="F10" s="18" t="inlineStr">
        <is>
          <t>In Progress</t>
        </is>
      </c>
      <c r="G10" s="21" t="inlineStr">
        <is>
          <t>The application enforces production TLS mode, but acquisition/renewal of a publicly trusted certificate remains an operational deployment responsibility.</t>
        </is>
      </c>
      <c r="H10" s="21" t="inlineStr">
        <is>
          <t>SECURE_INSTALLATION.md; application-prod.yaml</t>
        </is>
      </c>
    </row>
    <row r="11" ht="18" customHeight="1" s="35">
      <c r="A11" s="13" t="inlineStr">
        <is>
          <t>V12.3</t>
        </is>
      </c>
      <c r="B11" s="13" t="inlineStr">
        <is>
          <t>General Service to Service Communication Security</t>
        </is>
      </c>
      <c r="C11" s="13" t="n"/>
      <c r="D11" s="13" t="n"/>
      <c r="E11" s="13" t="n"/>
      <c r="F11" s="13" t="n"/>
      <c r="G11" s="13" t="n"/>
      <c r="H11" s="13" t="n"/>
    </row>
    <row r="12" ht="90" customHeight="1" s="35">
      <c r="A12" s="14" t="inlineStr">
        <is>
          <t>V12.3</t>
        </is>
      </c>
      <c r="B12" s="14" t="inlineStr">
        <is>
          <t>General Service to Service Communication Security</t>
        </is>
      </c>
      <c r="C12" s="15" t="inlineStr">
        <is>
          <t>V12.3.1</t>
        </is>
      </c>
      <c r="D12" s="16"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17" t="n">
        <v>2</v>
      </c>
      <c r="F12" s="18" t="inlineStr">
        <is>
          <t>Compliant</t>
        </is>
      </c>
      <c r="G12" s="16" t="inlineStr">
        <is>
          <t>Production PostgreSQL URLs must use certificate-validating TLS with sslmode=verify-ca or verify-full; unencrypted or sslmode=require-only URLs are rejected.</t>
        </is>
      </c>
      <c r="H12" s="16" t="inlineStr">
        <is>
          <t>SecurityConfigurationValidator.java; SecurityConfigurationValidatorTest</t>
        </is>
      </c>
    </row>
    <row r="13" ht="30" customHeight="1" s="35">
      <c r="A13" s="19" t="inlineStr">
        <is>
          <t>V12.3</t>
        </is>
      </c>
      <c r="B13" s="19" t="inlineStr">
        <is>
          <t>General Service to Service Communication Security</t>
        </is>
      </c>
      <c r="C13" s="20" t="inlineStr">
        <is>
          <t>V12.3.2</t>
        </is>
      </c>
      <c r="D13" s="21" t="inlineStr">
        <is>
          <t>Verify that TLS clients validate certificates received before communicating with a TLS server.</t>
        </is>
      </c>
      <c r="E13" s="17" t="n">
        <v>2</v>
      </c>
      <c r="F13" s="18" t="inlineStr">
        <is>
          <t>Compliant</t>
        </is>
      </c>
      <c r="G13" s="21" t="inlineStr">
        <is>
          <t>Database TLS validation now requires sslmode=verify-ca or verify-full in production-like profiles, so encrypted-but-unverified PostgreSQL connections are rejected.</t>
        </is>
      </c>
      <c r="H13" s="21" t="inlineStr">
        <is>
          <t>SecurityConfigurationValidator.java; SecurityConfigurationValidatorTest</t>
        </is>
      </c>
    </row>
    <row r="14" ht="60" customHeight="1" s="35">
      <c r="A14" s="14" t="inlineStr">
        <is>
          <t>V12.3</t>
        </is>
      </c>
      <c r="B14" s="14" t="inlineStr">
        <is>
          <t>General Service to Service Communication Security</t>
        </is>
      </c>
      <c r="C14" s="15" t="inlineStr">
        <is>
          <t>V12.3.3</t>
        </is>
      </c>
      <c r="D14" s="16" t="inlineStr">
        <is>
          <t>Verify that TLS or another appropriate transport encryption mechanism used for all connectivity between internal, HTTP-based services within the application, and does not fall back to insecure or unencrypted communications.</t>
        </is>
      </c>
      <c r="E14" s="17" t="n">
        <v>2</v>
      </c>
      <c r="F14" s="18" t="inlineStr">
        <is>
          <t>Not Applicable</t>
        </is>
      </c>
      <c r="G14" s="16" t="inlineStr">
        <is>
          <t>Not applicable to the current single Spring Boot deployment because there are no internal HTTP service-to-service calls between microservices.</t>
        </is>
      </c>
      <c r="H14" s="16" t="inlineStr">
        <is>
          <t>Architecture scope; pom.xml; no outbound/internal HTTP client usage</t>
        </is>
      </c>
    </row>
    <row r="15" ht="75" customHeight="1" s="35">
      <c r="A15" s="19" t="inlineStr">
        <is>
          <t>V12.3</t>
        </is>
      </c>
      <c r="B15" s="19" t="inlineStr">
        <is>
          <t>General Service to Service Communication Security</t>
        </is>
      </c>
      <c r="C15" s="20" t="inlineStr">
        <is>
          <t>V12.3.4</t>
        </is>
      </c>
      <c r="D15" s="21"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17" t="n">
        <v>2</v>
      </c>
      <c r="F15" s="18" t="inlineStr">
        <is>
          <t>Not Applicable</t>
        </is>
      </c>
      <c r="G15" s="21" t="inlineStr">
        <is>
          <t>Not applicable to the current single Spring Boot deployment because there are no internal HTTP service certificates or service mesh trust anchors to validate.</t>
        </is>
      </c>
      <c r="H15" s="21" t="inlineStr">
        <is>
          <t>Architecture scope; pom.xml; no microservices/service mesh</t>
        </is>
      </c>
    </row>
    <row r="16" ht="120" customHeight="1" s="35">
      <c r="A16" s="14" t="inlineStr">
        <is>
          <t>V12.3</t>
        </is>
      </c>
      <c r="B16" s="14" t="inlineStr">
        <is>
          <t>General Service to Service Communication Security</t>
        </is>
      </c>
      <c r="C16" s="15" t="inlineStr">
        <is>
          <t>V12.3.5</t>
        </is>
      </c>
      <c r="D16" s="16"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23" t="n">
        <v>3</v>
      </c>
      <c r="F16" s="18" t="inlineStr">
        <is>
          <t>Not Applicable</t>
        </is>
      </c>
      <c r="G16" s="16" t="inlineStr">
        <is>
          <t>Not applicable in Phase 1, as the system does not use a microservices architecture or mutual TLS authentication between services.</t>
        </is>
      </c>
      <c r="H16" s="16" t="inlineStr">
        <is>
          <t>N/A – service mesh/mTLS not in current system scope</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26"/>
  <sheetViews>
    <sheetView topLeftCell="A17" zoomScale="80" zoomScaleNormal="80" workbookViewId="0">
      <selection activeCell="H26" sqref="H2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V13.1</t>
        </is>
      </c>
      <c r="B2" s="13" t="inlineStr">
        <is>
          <t>Configuration Documentation</t>
        </is>
      </c>
      <c r="C2" s="13" t="n"/>
      <c r="D2" s="13" t="n"/>
      <c r="E2" s="13" t="n"/>
      <c r="F2" s="13" t="n"/>
      <c r="G2" s="13" t="n"/>
      <c r="H2" s="13" t="n"/>
    </row>
    <row r="3" ht="75" customHeight="1" s="35">
      <c r="A3" s="14" t="inlineStr">
        <is>
          <t>V13.1</t>
        </is>
      </c>
      <c r="B3" s="14" t="inlineStr">
        <is>
          <t>Configuration Documentation</t>
        </is>
      </c>
      <c r="C3" s="15" t="inlineStr">
        <is>
          <t>V13.1.1</t>
        </is>
      </c>
      <c r="D3" s="16"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17" t="n">
        <v>2</v>
      </c>
      <c r="F3" s="18" t="inlineStr">
        <is>
          <t>Compliant</t>
        </is>
      </c>
      <c r="G3" s="40" t="inlineStr">
        <is>
          <t>Application communications, database/profile requirements and pipeline dependencies are documented.</t>
        </is>
      </c>
      <c r="H3" s="40" t="inlineStr">
        <is>
          <t>SECURE_INSTALLATION.md; DEVSECOPS_PIPELINE.md</t>
        </is>
      </c>
    </row>
    <row r="4" ht="30" customHeight="1" s="35">
      <c r="A4" s="19" t="inlineStr">
        <is>
          <t>V13.1</t>
        </is>
      </c>
      <c r="B4" s="19" t="inlineStr">
        <is>
          <t>Configuration Documentation</t>
        </is>
      </c>
      <c r="C4" s="20" t="inlineStr">
        <is>
          <t>V13.1.2</t>
        </is>
      </c>
      <c r="D4" s="21"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23" t="n">
        <v>3</v>
      </c>
      <c r="F4" s="18" t="inlineStr">
        <is>
          <t>Compliant</t>
        </is>
      </c>
      <c r="G4" s="21" t="inlineStr">
        <is>
          <t>Configuration now defines database pool limits and Tomcat connection/thread/backlog limits, and production-like startup rejects missing/non-positive values.</t>
        </is>
      </c>
      <c r="H4" s="21" t="inlineStr">
        <is>
          <t>application.yaml; application-prod.yaml; SecurityConfigurationValidator.java; SecurityConfigurationValidatorTest</t>
        </is>
      </c>
    </row>
    <row r="5" ht="150" customHeight="1" s="35">
      <c r="A5" s="14" t="inlineStr">
        <is>
          <t>V13.1</t>
        </is>
      </c>
      <c r="B5" s="14" t="inlineStr">
        <is>
          <t>Configuration Documentation</t>
        </is>
      </c>
      <c r="C5" s="15" t="inlineStr">
        <is>
          <t>V13.1.3</t>
        </is>
      </c>
      <c r="D5" s="16"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23" t="n">
        <v>3</v>
      </c>
      <c r="F5" s="18" t="inlineStr">
        <is>
          <t>Compliant</t>
        </is>
      </c>
      <c r="G5" s="16" t="inlineStr">
        <is>
          <t>Resource-management settings are explicit for DB pool size/timeouts, multipart/upload limits, rate limits, Tomcat max connections/threads/backlog, and production validator checks required limits.</t>
        </is>
      </c>
      <c r="H5" s="16" t="inlineStr">
        <is>
          <t>application.yaml; application-prod.yaml; RateLimitProperties.java; SecurityConfigurationValidatorTest</t>
        </is>
      </c>
    </row>
    <row r="6" ht="60" customHeight="1" s="35">
      <c r="A6" s="19" t="inlineStr">
        <is>
          <t>V13.1</t>
        </is>
      </c>
      <c r="B6" s="19" t="inlineStr">
        <is>
          <t>Configuration Documentation</t>
        </is>
      </c>
      <c r="C6" s="20" t="inlineStr">
        <is>
          <t>V13.1.4</t>
        </is>
      </c>
      <c r="D6" s="21" t="inlineStr">
        <is>
          <t>Verify that the application's documentation defines the secrets that are critical for the security of the application and a schedule for rotating them, based on the organization's threat model and business requirements.</t>
        </is>
      </c>
      <c r="E6" s="23" t="n">
        <v>3</v>
      </c>
      <c r="F6" s="18" t="inlineStr">
        <is>
          <t>Compliant</t>
        </is>
      </c>
      <c r="G6" s="41" t="inlineStr">
        <is>
          <t>Secrets and required environment variables are documented and secret scanning is part of CI evidence.</t>
        </is>
      </c>
      <c r="H6" s="41" t="inlineStr">
        <is>
          <t>SECURE_INSTALLATION.md; DEVSECOPS_PIPELINE.md; Gitleaks</t>
        </is>
      </c>
    </row>
    <row r="7" ht="18" customHeight="1" s="35">
      <c r="A7" s="13" t="inlineStr">
        <is>
          <t>V13.2</t>
        </is>
      </c>
      <c r="B7" s="13" t="inlineStr">
        <is>
          <t>Backend Communication Configuration</t>
        </is>
      </c>
      <c r="C7" s="13" t="n"/>
      <c r="D7" s="13" t="n"/>
      <c r="E7" s="13" t="n"/>
      <c r="F7" s="13" t="n"/>
      <c r="G7" s="13" t="n"/>
      <c r="H7" s="13" t="n"/>
    </row>
    <row r="8" ht="105" customHeight="1" s="35">
      <c r="A8" s="14" t="inlineStr">
        <is>
          <t>V13.2</t>
        </is>
      </c>
      <c r="B8" s="14" t="inlineStr">
        <is>
          <t>Backend Communication Configuration</t>
        </is>
      </c>
      <c r="C8" s="15" t="inlineStr">
        <is>
          <t>V13.2.1</t>
        </is>
      </c>
      <c r="D8" s="16"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17" t="n">
        <v>2</v>
      </c>
      <c r="F8" s="18" t="inlineStr">
        <is>
          <t>Compliant</t>
        </is>
      </c>
      <c r="G8" s="16" t="inlineStr">
        <is>
          <t>Backend components use externally supplied database credentials and application secrets; there are no unauthenticated backend service integrations in the current single-service design.</t>
        </is>
      </c>
      <c r="H8" s="16" t="inlineStr">
        <is>
          <t>application.yaml; SecurityConfigurationValidator.java; SECURE_INSTALLATION.md</t>
        </is>
      </c>
    </row>
    <row r="9" ht="60" customHeight="1" s="35">
      <c r="A9" s="19" t="inlineStr">
        <is>
          <t>V13.2</t>
        </is>
      </c>
      <c r="B9" s="19" t="inlineStr">
        <is>
          <t>Backend Communication Configuration</t>
        </is>
      </c>
      <c r="C9" s="20" t="inlineStr">
        <is>
          <t>V13.2.2</t>
        </is>
      </c>
      <c r="D9" s="21" t="inlineStr">
        <is>
          <t>Verify that communications between backend application components, including local or operating system services, APIs, middleware, and data layers, are performed with accounts assigned the least necessary privileges.</t>
        </is>
      </c>
      <c r="E9" s="17" t="n">
        <v>2</v>
      </c>
      <c r="F9" s="18" t="inlineStr">
        <is>
          <t>In Progress</t>
        </is>
      </c>
      <c r="G9" s="21" t="inlineStr">
        <is>
          <t>Application configuration externalizes DB credentials and resource limits, but least-privilege database grants must still be evidenced in the deployment database.</t>
        </is>
      </c>
      <c r="H9" s="21" t="inlineStr">
        <is>
          <t>application.yaml; SECURE_INSTALLATION.md</t>
        </is>
      </c>
    </row>
    <row r="10" ht="77.25" customHeight="1" s="35">
      <c r="A10" s="14" t="inlineStr">
        <is>
          <t>V13.2</t>
        </is>
      </c>
      <c r="B10" s="14" t="inlineStr">
        <is>
          <t>Backend Communication Configuration</t>
        </is>
      </c>
      <c r="C10" s="15" t="inlineStr">
        <is>
          <t>V13.2.3</t>
        </is>
      </c>
      <c r="D10" s="16" t="inlineStr">
        <is>
          <t>Verify that if a credential has to be used for service authentication, the credential being used by the consumer is not a default credential (e.g., root/root or admin/admin).</t>
        </is>
      </c>
      <c r="E10" s="17" t="n">
        <v>2</v>
      </c>
      <c r="F10" s="18" t="inlineStr">
        <is>
          <t>Compliant</t>
        </is>
      </c>
      <c r="G10" s="16" t="inlineStr">
        <is>
          <t>Production-like profiles reject dev/test JWT and backup HMAC secrets; DB credentials are supplied externally rather than using development defaults.</t>
        </is>
      </c>
      <c r="H10" s="16" t="inlineStr">
        <is>
          <t>SecurityConfigurationValidator.java; SecurityConfigurationValidatorTest; application.yaml</t>
        </is>
      </c>
    </row>
    <row r="11" ht="75" customHeight="1" s="35">
      <c r="A11" s="19" t="inlineStr">
        <is>
          <t>V13.2</t>
        </is>
      </c>
      <c r="B11" s="19" t="inlineStr">
        <is>
          <t>Backend Communication Configuration</t>
        </is>
      </c>
      <c r="C11" s="20" t="inlineStr">
        <is>
          <t>V13.2.4</t>
        </is>
      </c>
      <c r="D11" s="21"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17" t="n">
        <v>2</v>
      </c>
      <c r="F11" s="18" t="inlineStr">
        <is>
          <t>Compliant</t>
        </is>
      </c>
      <c r="G11" s="21" t="inlineStr">
        <is>
          <t>The application has no user-driven outbound HTTP clients; filesystem access is constrained to configured upload/backup roots with path traversal checks.</t>
        </is>
      </c>
      <c r="H11" s="21" t="inlineStr">
        <is>
          <t>FileStorageService.java; BackupService.java; CasePackageService.java; rg no outbound HTTP clients</t>
        </is>
      </c>
    </row>
    <row r="12" ht="45" customHeight="1" s="35">
      <c r="A12" s="14" t="inlineStr">
        <is>
          <t>V13.2</t>
        </is>
      </c>
      <c r="B12" s="14" t="inlineStr">
        <is>
          <t>Backend Communication Configuration</t>
        </is>
      </c>
      <c r="C12" s="15" t="inlineStr">
        <is>
          <t>V13.2.5</t>
        </is>
      </c>
      <c r="D12" s="16" t="inlineStr">
        <is>
          <t>Verify that the web or application server is configured with an allowlist of resources or systems to which the server can send requests or load data or files from.</t>
        </is>
      </c>
      <c r="E12" s="17" t="n">
        <v>2</v>
      </c>
      <c r="F12" s="18" t="inlineStr">
        <is>
          <t>Compliant</t>
        </is>
      </c>
      <c r="G12" s="16" t="inlineStr">
        <is>
          <t>Server-side file access is allowlisted to configured storage roots and safe relative paths; no external URL loading or proxying functionality is implemented.</t>
        </is>
      </c>
      <c r="H12" s="16" t="inlineStr">
        <is>
          <t>FileStorageService.java; BackupService.java; SecurityConfigurationValidator.java</t>
        </is>
      </c>
    </row>
    <row r="13" ht="75" customHeight="1" s="35">
      <c r="A13" s="19" t="inlineStr">
        <is>
          <t>V13.2</t>
        </is>
      </c>
      <c r="B13" s="19" t="inlineStr">
        <is>
          <t>Backend Communication Configuration</t>
        </is>
      </c>
      <c r="C13" s="20" t="inlineStr">
        <is>
          <t>V13.2.6</t>
        </is>
      </c>
      <c r="D13" s="21"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23" t="n">
        <v>3</v>
      </c>
      <c r="F13" s="18" t="inlineStr">
        <is>
          <t>Compliant</t>
        </is>
      </c>
      <c r="G13" s="21" t="inlineStr">
        <is>
          <t>Backend connection configuration now documents/enforces Hikari pool size/timeouts and Tomcat connection/thread limits through configuration and production startup validation.</t>
        </is>
      </c>
      <c r="H13" s="21" t="inlineStr">
        <is>
          <t>application.yaml; application-prod.yaml; SecurityConfigurationValidator.java</t>
        </is>
      </c>
    </row>
    <row r="14" ht="18" customHeight="1" s="35">
      <c r="A14" s="13" t="inlineStr">
        <is>
          <t>V13.3</t>
        </is>
      </c>
      <c r="B14" s="13" t="inlineStr">
        <is>
          <t>Secret Management</t>
        </is>
      </c>
      <c r="C14" s="13" t="n"/>
      <c r="D14" s="13" t="n"/>
      <c r="E14" s="13" t="n"/>
      <c r="F14" s="13" t="n"/>
      <c r="G14" s="13" t="n"/>
      <c r="H14" s="13" t="n"/>
    </row>
    <row r="15" ht="120" customHeight="1" s="35">
      <c r="A15" s="14" t="inlineStr">
        <is>
          <t>V13.3</t>
        </is>
      </c>
      <c r="B15" s="14" t="inlineStr">
        <is>
          <t>Secret Management</t>
        </is>
      </c>
      <c r="C15" s="15" t="inlineStr">
        <is>
          <t>V13.3.1</t>
        </is>
      </c>
      <c r="D15" s="16"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17" t="n">
        <v>2</v>
      </c>
      <c r="F15" s="18" t="inlineStr">
        <is>
          <t>In Progress</t>
        </is>
      </c>
      <c r="G15" s="40" t="inlineStr">
        <is>
          <t>Environment variables and secret scanning are documented; no external vault integration is implemented.</t>
        </is>
      </c>
      <c r="H15" s="40" t="inlineStr">
        <is>
          <t>SECURE_INSTALLATION.md; DEVSECOPS_PIPELINE.md</t>
        </is>
      </c>
    </row>
    <row r="16" ht="30" customHeight="1" s="35">
      <c r="A16" s="19" t="inlineStr">
        <is>
          <t>V13.3</t>
        </is>
      </c>
      <c r="B16" s="19" t="inlineStr">
        <is>
          <t>Secret Management</t>
        </is>
      </c>
      <c r="C16" s="20" t="inlineStr">
        <is>
          <t>V13.3.2</t>
        </is>
      </c>
      <c r="D16" s="21" t="inlineStr">
        <is>
          <t>Verify that access to secret assets adheres to the principle of least privilege.</t>
        </is>
      </c>
      <c r="E16" s="17" t="n">
        <v>2</v>
      </c>
      <c r="F16" s="18" t="inlineStr">
        <is>
          <t>Not Started</t>
        </is>
      </c>
      <c r="G16" s="21" t="inlineStr">
        <is>
          <t>Secrets-management approach should be documented before deployment/implementation.</t>
        </is>
      </c>
      <c r="H16" s="21" t="inlineStr">
        <is>
          <t>DESOFS Phase 1: DFD/trust boundaries §9; STRIDE §10; mitigations §11</t>
        </is>
      </c>
    </row>
    <row r="17" ht="30" customHeight="1" s="35">
      <c r="A17" s="14" t="inlineStr">
        <is>
          <t>V13.3</t>
        </is>
      </c>
      <c r="B17" s="14" t="inlineStr">
        <is>
          <t>Secret Management</t>
        </is>
      </c>
      <c r="C17" s="15" t="inlineStr">
        <is>
          <t>V13.3.3</t>
        </is>
      </c>
      <c r="D17" s="16" t="inlineStr">
        <is>
          <t>Verify that all cryptographic operations are performed using an isolated security module (such as a vault or hardware security module) to securely manage and protect key material from exposure outside of the security module.</t>
        </is>
      </c>
      <c r="E17" s="23" t="n">
        <v>3</v>
      </c>
      <c r="F17" s="18" t="inlineStr">
        <is>
          <t>Not Started</t>
        </is>
      </c>
      <c r="G17" s="16" t="inlineStr">
        <is>
          <t>Use of secure key management (e.g., vault or HSM) is not yet defined and depends on deployment architecture.</t>
        </is>
      </c>
      <c r="H17" s="16" t="inlineStr">
        <is>
          <t>DESOFS Phase 1: DFD/trust boundaries §9; STRIDE §10; mitigations §11</t>
        </is>
      </c>
    </row>
    <row r="18" ht="30" customHeight="1" s="35">
      <c r="A18" s="19" t="inlineStr">
        <is>
          <t>V13.3</t>
        </is>
      </c>
      <c r="B18" s="19" t="inlineStr">
        <is>
          <t>Secret Management</t>
        </is>
      </c>
      <c r="C18" s="20" t="inlineStr">
        <is>
          <t>V13.3.4</t>
        </is>
      </c>
      <c r="D18" s="21" t="inlineStr">
        <is>
          <t>Verify that secrets are configured to expire and be rotated based on the application's documentation.</t>
        </is>
      </c>
      <c r="E18" s="23" t="n">
        <v>3</v>
      </c>
      <c r="F18" s="18" t="inlineStr">
        <is>
          <t>Not Started</t>
        </is>
      </c>
      <c r="G18" s="21" t="inlineStr">
        <is>
          <t>Secrets-management approach should be documented before deployment/implementation.</t>
        </is>
      </c>
      <c r="H18" s="21" t="inlineStr">
        <is>
          <t>DESOFS Phase 1: DFD/trust boundaries §9; STRIDE §10; mitigations §11</t>
        </is>
      </c>
    </row>
    <row r="19" ht="18" customHeight="1" s="35">
      <c r="A19" s="13" t="inlineStr">
        <is>
          <t>V13.4</t>
        </is>
      </c>
      <c r="B19" s="13" t="inlineStr">
        <is>
          <t>Unintended Information Leakage</t>
        </is>
      </c>
      <c r="C19" s="13" t="n"/>
      <c r="D19" s="13" t="n"/>
      <c r="E19" s="13" t="n"/>
      <c r="F19" s="13" t="n"/>
      <c r="G19" s="13" t="n"/>
      <c r="H19" s="13" t="n"/>
    </row>
    <row r="20" ht="60" customHeight="1" s="35">
      <c r="A20" s="14" t="inlineStr">
        <is>
          <t>V13.4</t>
        </is>
      </c>
      <c r="B20" s="14" t="inlineStr">
        <is>
          <t>Unintended Information Leakage</t>
        </is>
      </c>
      <c r="C20" s="15" t="inlineStr">
        <is>
          <t>V13.4.1</t>
        </is>
      </c>
      <c r="D20" s="16" t="inlineStr">
        <is>
          <t>Verify that the application is deployed either without any source control metadata, including the .git or .svn folders, or in a way that these folders are inaccessible both externally and to the application itself.</t>
        </is>
      </c>
      <c r="E20" s="22" t="n">
        <v>1</v>
      </c>
      <c r="F20" s="18" t="inlineStr">
        <is>
          <t>In Progress</t>
        </is>
      </c>
      <c r="G20" s="40" t="inlineStr">
        <is>
          <t>Deployment hygiene is documented; repository metadata exclusion is a packaging/deployment responsibility.</t>
        </is>
      </c>
      <c r="H20" s="40" t="inlineStr">
        <is>
          <t>SECURE_INSTALLATION.md</t>
        </is>
      </c>
    </row>
    <row r="21" ht="45" customHeight="1" s="35">
      <c r="A21" s="19" t="inlineStr">
        <is>
          <t>V13.4</t>
        </is>
      </c>
      <c r="B21" s="19" t="inlineStr">
        <is>
          <t>Unintended Information Leakage</t>
        </is>
      </c>
      <c r="C21" s="20" t="inlineStr">
        <is>
          <t>V13.4.2</t>
        </is>
      </c>
      <c r="D21" s="21" t="inlineStr">
        <is>
          <t>Verify that debug modes are disabled for all components in production environments to prevent exposure of debugging features and information leakage.</t>
        </is>
      </c>
      <c r="E21" s="17" t="n">
        <v>2</v>
      </c>
      <c r="F21" s="18" t="inlineStr">
        <is>
          <t>Compliant</t>
        </is>
      </c>
      <c r="G21" s="21" t="inlineStr">
        <is>
          <t>Production configuration disables H2 console and SQL display, uses validate DDL mode, and suppresses stack traces.</t>
        </is>
      </c>
      <c r="H21" s="21" t="inlineStr">
        <is>
          <t>application.yaml</t>
        </is>
      </c>
    </row>
    <row r="22" ht="60" customHeight="1" s="35">
      <c r="A22" s="14" t="inlineStr">
        <is>
          <t>V13.4</t>
        </is>
      </c>
      <c r="B22" s="14" t="inlineStr">
        <is>
          <t>Unintended Information Leakage</t>
        </is>
      </c>
      <c r="C22" s="15" t="inlineStr">
        <is>
          <t>V13.4.3</t>
        </is>
      </c>
      <c r="D22" s="16" t="inlineStr">
        <is>
          <t>Verify that web servers do not expose directory listings to clients unless explicitly intended.</t>
        </is>
      </c>
      <c r="E22" s="17" t="n">
        <v>2</v>
      </c>
      <c r="F22" s="18" t="inlineStr">
        <is>
          <t>Compliant</t>
        </is>
      </c>
      <c r="G22" s="16" t="inlineStr">
        <is>
          <t>Spring Boot static resource handling does not expose directory listings, and protected/API paths return controlled 401/403/404 responses.</t>
        </is>
      </c>
      <c r="H22" s="16" t="inlineStr">
        <is>
          <t>SecurityConfig.java; runtime-endpoints.md</t>
        </is>
      </c>
    </row>
    <row r="23" ht="45" customHeight="1" s="35">
      <c r="A23" s="19" t="inlineStr">
        <is>
          <t>V13.4</t>
        </is>
      </c>
      <c r="B23" s="19" t="inlineStr">
        <is>
          <t>Unintended Information Leakage</t>
        </is>
      </c>
      <c r="C23" s="20" t="inlineStr">
        <is>
          <t>V13.4.4</t>
        </is>
      </c>
      <c r="D23" s="21" t="inlineStr">
        <is>
          <t>Verify that using the HTTP TRACE method is not supported in production environments, to avoid potential information leakage.</t>
        </is>
      </c>
      <c r="E23" s="17" t="n">
        <v>2</v>
      </c>
      <c r="F23" s="18" t="inlineStr">
        <is>
          <t>Compliant</t>
        </is>
      </c>
      <c r="G23" s="41" t="inlineStr">
        <is>
          <t>Unsupported/wrong HTTP methods are exercised by runtime probes with controlled responses.</t>
        </is>
      </c>
      <c r="H23" s="41" t="inlineStr">
        <is>
          <t>runtime-endpoints.md</t>
        </is>
      </c>
    </row>
    <row r="24" ht="60" customHeight="1" s="35">
      <c r="A24" s="14" t="inlineStr">
        <is>
          <t>V13.4</t>
        </is>
      </c>
      <c r="B24" s="14" t="inlineStr">
        <is>
          <t>Unintended Information Leakage</t>
        </is>
      </c>
      <c r="C24" s="15" t="inlineStr">
        <is>
          <t>V13.4.5</t>
        </is>
      </c>
      <c r="D24" s="16" t="inlineStr">
        <is>
          <t>Verify that documentation (such as for internal APIs) and monitoring endpoints are not exposed unless explicitly intended.</t>
        </is>
      </c>
      <c r="E24" s="17" t="n">
        <v>2</v>
      </c>
      <c r="F24" s="18" t="inlineStr">
        <is>
          <t>Compliant</t>
        </is>
      </c>
      <c r="G24" s="16" t="inlineStr">
        <is>
          <t>No actuator or Swagger/OpenAPI dependency is present, H2 console is profile-controlled, and production-like configuration disables dev-only behaviour.</t>
        </is>
      </c>
      <c r="H24" s="16" t="inlineStr">
        <is>
          <t>pom.xml; application.yaml; application-prod.yaml; SecurityConfigurationValidator.java</t>
        </is>
      </c>
    </row>
    <row r="25" ht="60" customHeight="1" s="35">
      <c r="A25" s="19" t="inlineStr">
        <is>
          <t>V13.4</t>
        </is>
      </c>
      <c r="B25" s="19" t="inlineStr">
        <is>
          <t>Unintended Information Leakage</t>
        </is>
      </c>
      <c r="C25" s="20" t="inlineStr">
        <is>
          <t>V13.4.6</t>
        </is>
      </c>
      <c r="D25" s="21" t="inlineStr">
        <is>
          <t>Verify that the application does not expose detailed version information of backend components.</t>
        </is>
      </c>
      <c r="E25" s="23" t="n">
        <v>3</v>
      </c>
      <c r="F25" s="18" t="inlineStr">
        <is>
          <t>Compliant</t>
        </is>
      </c>
      <c r="G25" s="21" t="inlineStr">
        <is>
          <t>Security header tests assert the public response does not expose the Server header and error handling avoids detailed stack traces.</t>
        </is>
      </c>
      <c r="H25" s="21" t="inlineStr">
        <is>
          <t>SecurityHeadersTest; GlobalExceptionHandler.java; application.yaml</t>
        </is>
      </c>
    </row>
    <row r="26" ht="60" customHeight="1" s="35">
      <c r="A26" s="14" t="inlineStr">
        <is>
          <t>V13.4</t>
        </is>
      </c>
      <c r="B26" s="14" t="inlineStr">
        <is>
          <t>Unintended Information Leakage</t>
        </is>
      </c>
      <c r="C26" s="15" t="inlineStr">
        <is>
          <t>V13.4.7</t>
        </is>
      </c>
      <c r="D26" s="16" t="inlineStr">
        <is>
          <t>Verify that the web tier is configured to only serve files with specific file extensions to prevent unintentional information, configuration, and source code leakage.</t>
        </is>
      </c>
      <c r="E26" s="23" t="n">
        <v>3</v>
      </c>
      <c r="F26" s="18" t="inlineStr">
        <is>
          <t>In Progress</t>
        </is>
      </c>
      <c r="G26" s="16" t="inlineStr">
        <is>
          <t>Uploaded files are stored outside static resources and static assets are limited to project files, but no explicit web-tier extension allowlist was found.</t>
        </is>
      </c>
      <c r="H26" s="16" t="inlineStr">
        <is>
          <t>FileStorageService.java; SecurityConfig.java; src/main/resources/static</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7"/>
  <sheetViews>
    <sheetView zoomScale="80" zoomScaleNormal="80" workbookViewId="0">
      <selection activeCell="F3" sqref="F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V14.1</t>
        </is>
      </c>
      <c r="B2" s="13" t="inlineStr">
        <is>
          <t>Data Protection Documentation</t>
        </is>
      </c>
      <c r="C2" s="13" t="n"/>
      <c r="D2" s="13" t="n"/>
      <c r="E2" s="13" t="n"/>
      <c r="F2" s="13" t="n"/>
      <c r="G2" s="13" t="n"/>
      <c r="H2" s="13" t="n"/>
    </row>
    <row r="3" ht="105" customHeight="1" s="35">
      <c r="A3" s="14" t="inlineStr">
        <is>
          <t>V14.1</t>
        </is>
      </c>
      <c r="B3" s="14" t="inlineStr">
        <is>
          <t>Data Protection Documentation</t>
        </is>
      </c>
      <c r="C3" s="15" t="inlineStr">
        <is>
          <t>V14.1.1</t>
        </is>
      </c>
      <c r="D3" s="16"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17" t="n">
        <v>2</v>
      </c>
      <c r="F3" s="18" t="inlineStr">
        <is>
          <t>Compliant</t>
        </is>
      </c>
      <c r="G3" s="40" t="inlineStr">
        <is>
          <t>Sensitive data categories include JWTs, passwords, MFA challenges, tracking codes, attachments, audit/security logs and backups.</t>
        </is>
      </c>
      <c r="H3" s="40" t="inlineStr">
        <is>
          <t>PHASE2_SPRINT2_REPORT.md; runtime-log-sanitization.md</t>
        </is>
      </c>
    </row>
    <row r="4" ht="105" customHeight="1" s="35">
      <c r="A4" s="19" t="inlineStr">
        <is>
          <t>V14.1</t>
        </is>
      </c>
      <c r="B4" s="19" t="inlineStr">
        <is>
          <t>Data Protection Documentation</t>
        </is>
      </c>
      <c r="C4" s="20" t="inlineStr">
        <is>
          <t>V14.1.2</t>
        </is>
      </c>
      <c r="D4" s="21"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17" t="n">
        <v>2</v>
      </c>
      <c r="F4" s="18" t="inlineStr">
        <is>
          <t>Compliant</t>
        </is>
      </c>
      <c r="G4" s="21" t="inlineStr">
        <is>
          <t>Sensitive data handling requirements are documented and implemented for JWTs, tracking codes, passwords, uploads, audit logs, backups and evidence packages.</t>
        </is>
      </c>
      <c r="H4" s="21" t="inlineStr">
        <is>
          <t>PHASE2_SPRINT2_REPORT.md; SECURITY_ASSESSMENT.md; SECURITY_TESTING.md</t>
        </is>
      </c>
    </row>
    <row r="5" ht="18" customHeight="1" s="35">
      <c r="A5" s="13" t="inlineStr">
        <is>
          <t>V14.2</t>
        </is>
      </c>
      <c r="B5" s="13" t="inlineStr">
        <is>
          <t>General Data Protection</t>
        </is>
      </c>
      <c r="C5" s="13" t="n"/>
      <c r="D5" s="13" t="n"/>
      <c r="E5" s="13" t="n"/>
      <c r="F5" s="13" t="n"/>
      <c r="G5" s="13" t="n"/>
      <c r="H5" s="13" t="n"/>
    </row>
    <row r="6" ht="74.25" customHeight="1" s="35">
      <c r="A6" s="14" t="inlineStr">
        <is>
          <t>V14.2</t>
        </is>
      </c>
      <c r="B6" s="14" t="inlineStr">
        <is>
          <t>General Data Protection</t>
        </is>
      </c>
      <c r="C6" s="15" t="inlineStr">
        <is>
          <t>V14.2.1</t>
        </is>
      </c>
      <c r="D6" s="16" t="inlineStr">
        <is>
          <t>Verify that sensitive data is only sent to the server in the HTTP message body or header fields, and that the URL and query string do not contain sensitive information, such as an API key or session token.</t>
        </is>
      </c>
      <c r="E6" s="22" t="n">
        <v>1</v>
      </c>
      <c r="F6" s="18" t="inlineStr">
        <is>
          <t>Compliant</t>
        </is>
      </c>
      <c r="G6" s="40" t="inlineStr">
        <is>
          <t>Tracking codes are not sent in URLs in tested flows; runtime artefacts redact tokens, tracking codes and MFA values.</t>
        </is>
      </c>
      <c r="H6" s="40" t="inlineStr">
        <is>
          <t>runtime-endpoints.md; runtime-log-sanitization.md</t>
        </is>
      </c>
    </row>
    <row r="7" ht="75" customHeight="1" s="35">
      <c r="A7" s="19" t="inlineStr">
        <is>
          <t>V14.2</t>
        </is>
      </c>
      <c r="B7" s="19" t="inlineStr">
        <is>
          <t>General Data Protection</t>
        </is>
      </c>
      <c r="C7" s="20" t="inlineStr">
        <is>
          <t>V14.2.2</t>
        </is>
      </c>
      <c r="D7" s="21" t="inlineStr">
        <is>
          <t>Verify that the application prevents sensitive data from being cached in server components, such as load balancers and application caches, or ensures that the data is securely purged after use.</t>
        </is>
      </c>
      <c r="E7" s="17" t="n">
        <v>2</v>
      </c>
      <c r="F7" s="18" t="inlineStr">
        <is>
          <t>Compliant</t>
        </is>
      </c>
      <c r="G7" s="21" t="inlineStr">
        <is>
          <t>Sensitive API/report/admin/analyst/audit/auth responses receive no-store/no-cache headers, and download responses set no-store headers explicitly.</t>
        </is>
      </c>
      <c r="H7" s="21" t="inlineStr">
        <is>
          <t>SecurityConfig.java; ReportService.java; SecurityHeadersTest; ReportControllerAttachmentUploadTest</t>
        </is>
      </c>
    </row>
    <row r="8" ht="63" customHeight="1" s="35">
      <c r="A8" s="14" t="inlineStr">
        <is>
          <t>V14.2</t>
        </is>
      </c>
      <c r="B8" s="14" t="inlineStr">
        <is>
          <t>General Data Protection</t>
        </is>
      </c>
      <c r="C8" s="15" t="inlineStr">
        <is>
          <t>V14.2.3</t>
        </is>
      </c>
      <c r="D8" s="16" t="inlineStr">
        <is>
          <t>Verify that defined sensitive data is not sent to untrusted parties (e.g., user trackers) to prevent unwanted collection of data outside of the application's control.</t>
        </is>
      </c>
      <c r="E8" s="17" t="n">
        <v>2</v>
      </c>
      <c r="F8" s="18" t="inlineStr">
        <is>
          <t>Compliant</t>
        </is>
      </c>
      <c r="G8" s="16" t="inlineStr">
        <is>
          <t>No third-party trackers, CDN scripts, analytics or external client-side resources were found in static frontend files.</t>
        </is>
      </c>
      <c r="H8" s="16" t="inlineStr">
        <is>
          <t>static HTML files; js/api.js; CSS files</t>
        </is>
      </c>
    </row>
    <row r="9" ht="75" customHeight="1" s="35">
      <c r="A9" s="19" t="inlineStr">
        <is>
          <t>V14.2</t>
        </is>
      </c>
      <c r="B9" s="19" t="inlineStr">
        <is>
          <t>General Data Protection</t>
        </is>
      </c>
      <c r="C9" s="20" t="inlineStr">
        <is>
          <t>V14.2.4</t>
        </is>
      </c>
      <c r="D9" s="21"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17" t="n">
        <v>2</v>
      </c>
      <c r="F9" s="18" t="inlineStr">
        <is>
          <t>In Progress</t>
        </is>
      </c>
      <c r="G9" s="21" t="inlineStr">
        <is>
          <t>RBAC, tracking-code checks, BCrypt, SHA-256 integrity and audit logging exist, but encryption at rest, retention and deletion controls are incomplete.</t>
        </is>
      </c>
      <c r="H9" s="21" t="inlineStr">
        <is>
          <t>SecurityConfig.java; ReportService.java; BackupService.java; CasePackageService.java</t>
        </is>
      </c>
    </row>
    <row r="10" ht="90" customHeight="1" s="35">
      <c r="A10" s="14" t="inlineStr">
        <is>
          <t>V14.2</t>
        </is>
      </c>
      <c r="B10" s="14" t="inlineStr">
        <is>
          <t>General Data Protection</t>
        </is>
      </c>
      <c r="C10" s="15" t="inlineStr">
        <is>
          <t>V14.2.5</t>
        </is>
      </c>
      <c r="D10" s="16"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23" t="n">
        <v>3</v>
      </c>
      <c r="F10" s="18" t="inlineStr">
        <is>
          <t>In Progress</t>
        </is>
      </c>
      <c r="G10" s="16" t="inlineStr">
        <is>
          <t>Cache-Control no-store is tested for static HTML, but broad web cache deception coverage for authenticated API and download responses is not verified.</t>
        </is>
      </c>
      <c r="H10" s="16" t="inlineStr">
        <is>
          <t>SecurityHeadersTest; SecurityConfig.java; download endpoints</t>
        </is>
      </c>
    </row>
    <row r="11" ht="75" customHeight="1" s="35">
      <c r="A11" s="19" t="inlineStr">
        <is>
          <t>V14.2</t>
        </is>
      </c>
      <c r="B11" s="19" t="inlineStr">
        <is>
          <t>General Data Protection</t>
        </is>
      </c>
      <c r="C11" s="20" t="inlineStr">
        <is>
          <t>V14.2.6</t>
        </is>
      </c>
      <c r="D11" s="21"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23" t="n">
        <v>3</v>
      </c>
      <c r="F11" s="18" t="inlineStr">
        <is>
          <t>In Progress</t>
        </is>
      </c>
      <c r="G11" s="41" t="inlineStr">
        <is>
          <t>DTOs and role-specific responses minimize exposed fields, but a full data minimization review remains a limitation.</t>
        </is>
      </c>
      <c r="H11" s="41" t="inlineStr">
        <is>
          <t>DTOs; SECURITY_TESTING.md</t>
        </is>
      </c>
    </row>
    <row r="12" ht="60" customHeight="1" s="35">
      <c r="A12" s="14" t="inlineStr">
        <is>
          <t>V14.2</t>
        </is>
      </c>
      <c r="B12" s="14" t="inlineStr">
        <is>
          <t>General Data Protection</t>
        </is>
      </c>
      <c r="C12" s="15" t="inlineStr">
        <is>
          <t>V14.2.7</t>
        </is>
      </c>
      <c r="D12" s="16" t="inlineStr">
        <is>
          <t>Verify that sensitive information is subject to data retention classification, ensuring that outdated or unnecessary data is deleted automatically, on a defined schedule, or as the situation requires.</t>
        </is>
      </c>
      <c r="E12" s="23" t="n">
        <v>3</v>
      </c>
      <c r="F12" s="18" t="inlineStr">
        <is>
          <t>Not Started</t>
        </is>
      </c>
      <c r="G12" s="16" t="inlineStr">
        <is>
          <t>Retention and deletion policies are required but not yet formally defined or automated.</t>
        </is>
      </c>
      <c r="H12" s="16" t="inlineStr">
        <is>
          <t>DESOFS Phase 1: §5.2 RS4-RS6; AC1/AC2; STRIDE P1; §12 tests</t>
        </is>
      </c>
    </row>
    <row r="13" ht="45" customHeight="1" s="35">
      <c r="A13" s="19" t="inlineStr">
        <is>
          <t>V14.2</t>
        </is>
      </c>
      <c r="B13" s="19" t="inlineStr">
        <is>
          <t>General Data Protection</t>
        </is>
      </c>
      <c r="C13" s="20" t="inlineStr">
        <is>
          <t>V14.2.8</t>
        </is>
      </c>
      <c r="D13" s="21" t="inlineStr">
        <is>
          <t>Verify that sensitive information is removed from the metadata of user-submitted files unless storage is consented to by the user.</t>
        </is>
      </c>
      <c r="E13" s="23" t="n">
        <v>3</v>
      </c>
      <c r="F13" s="18" t="inlineStr">
        <is>
          <t>Not Started</t>
        </is>
      </c>
      <c r="G13" s="21" t="inlineStr">
        <is>
          <t>Metadata anonymization is documented conceptually, but file-metadata scrubbing is not yet fully specified.</t>
        </is>
      </c>
      <c r="H13" s="21" t="inlineStr">
        <is>
          <t>DESOFS Phase 1: §5.2 RS4-RS6; AC1/AC2; STRIDE P1/P4; §12 tests</t>
        </is>
      </c>
    </row>
    <row r="14" ht="18" customHeight="1" s="35">
      <c r="A14" s="13" t="inlineStr">
        <is>
          <t>V14.3</t>
        </is>
      </c>
      <c r="B14" s="13" t="inlineStr">
        <is>
          <t>Client-side Data Protection</t>
        </is>
      </c>
      <c r="C14" s="13" t="n"/>
      <c r="D14" s="13" t="n"/>
      <c r="E14" s="13" t="n"/>
      <c r="F14" s="13" t="n"/>
      <c r="G14" s="13" t="n"/>
      <c r="H14" s="13" t="n"/>
    </row>
    <row r="15" ht="90" customHeight="1" s="35">
      <c r="A15" s="14" t="inlineStr">
        <is>
          <t>V14.3</t>
        </is>
      </c>
      <c r="B15" s="14" t="inlineStr">
        <is>
          <t>Client-side Data Protection</t>
        </is>
      </c>
      <c r="C15" s="15" t="inlineStr">
        <is>
          <t>V14.3.1</t>
        </is>
      </c>
      <c r="D15" s="16"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22" t="n">
        <v>1</v>
      </c>
      <c r="F15" s="18" t="inlineStr">
        <is>
          <t>Not Applicable</t>
        </is>
      </c>
      <c r="G15" s="16" t="inlineStr">
        <is>
          <t>Not applicable in Phase 1, as the system does not include a browser-based client storing authenticated data.</t>
        </is>
      </c>
      <c r="H15" s="16" t="inlineStr">
        <is>
          <t>N/A – frontend/browser functionality not in current system scope</t>
        </is>
      </c>
    </row>
    <row r="16" ht="75" customHeight="1" s="35">
      <c r="A16" s="19" t="inlineStr">
        <is>
          <t>V14.3</t>
        </is>
      </c>
      <c r="B16" s="19" t="inlineStr">
        <is>
          <t>Client-side Data Protection</t>
        </is>
      </c>
      <c r="C16" s="20" t="inlineStr">
        <is>
          <t>V14.3.2</t>
        </is>
      </c>
      <c r="D16" s="21" t="inlineStr">
        <is>
          <t>Verify that the application sets sufficient anti-caching HTTP response header fields (i.e., Cache-Control: no-store) so that sensitive data is not cached in browsers.</t>
        </is>
      </c>
      <c r="E16" s="17" t="n">
        <v>2</v>
      </c>
      <c r="F16" s="18" t="inlineStr">
        <is>
          <t>Compliant</t>
        </is>
      </c>
      <c r="G16" s="41" t="inlineStr">
        <is>
          <t>Sensitive API/auth/report/admin/analyst/audit responses receive Cache-Control no-store/no-cache, Pragma no-cache and Expires headers.</t>
        </is>
      </c>
      <c r="H16" s="41" t="inlineStr">
        <is>
          <t>SecurityConfig.java; SecurityHeadersTest; ReportControllerAttachmentUploadTest</t>
        </is>
      </c>
    </row>
    <row r="17" ht="75" customHeight="1" s="35">
      <c r="A17" s="14" t="inlineStr">
        <is>
          <t>V14.3</t>
        </is>
      </c>
      <c r="B17" s="14" t="inlineStr">
        <is>
          <t>Client-side Data Protection</t>
        </is>
      </c>
      <c r="C17" s="15" t="inlineStr">
        <is>
          <t>V14.3.3</t>
        </is>
      </c>
      <c r="D17" s="16" t="inlineStr">
        <is>
          <t>Verify that data stored in browser storage (such as localStorage, sessionStorage, IndexedDB, or cookies) does not contain sensitive data, with the exception of session tokens.</t>
        </is>
      </c>
      <c r="E17" s="17" t="n">
        <v>2</v>
      </c>
      <c r="F17" s="18" t="inlineStr">
        <is>
          <t>Compliant</t>
        </is>
      </c>
      <c r="G17" s="16" t="inlineStr">
        <is>
          <t>Frontend tests verify bearer tokens are not stored in localStorage/sessionStorage and tracking codes are not placed in URLs; XSRF cookie is not an auth secret.</t>
        </is>
      </c>
      <c r="H17" s="16" t="inlineStr">
        <is>
          <t>FrontendXssDataExposureTest; CsrfCookieAttributesTest; js/api.js</t>
        </is>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7"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26"/>
  <sheetViews>
    <sheetView topLeftCell="A18" zoomScale="80" zoomScaleNormal="80" workbookViewId="0">
      <selection activeCell="G30" sqref="G3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33"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V15.1</t>
        </is>
      </c>
      <c r="B2" s="13" t="inlineStr">
        <is>
          <t>Secure Coding and Architecture Documentation</t>
        </is>
      </c>
      <c r="C2" s="13" t="n"/>
      <c r="D2" s="13" t="n"/>
      <c r="E2" s="13" t="n"/>
      <c r="F2" s="13" t="n"/>
      <c r="G2" s="13" t="n"/>
      <c r="H2" s="13" t="n"/>
    </row>
    <row r="3" ht="60" customHeight="1" s="35">
      <c r="A3" s="14" t="inlineStr">
        <is>
          <t>V15.1</t>
        </is>
      </c>
      <c r="B3" s="14" t="inlineStr">
        <is>
          <t>Secure Coding and Architecture Documentation</t>
        </is>
      </c>
      <c r="C3" s="15" t="inlineStr">
        <is>
          <t>V15.1.1</t>
        </is>
      </c>
      <c r="D3" s="16" t="inlineStr">
        <is>
          <t>Verify that application documentation defines risk based remediation time frames for 3rd party component versions with vulnerabilities and for updating libraries in general, to minimize the risk from these components.</t>
        </is>
      </c>
      <c r="E3" s="22" t="n">
        <v>1</v>
      </c>
      <c r="F3" s="18" t="inlineStr">
        <is>
          <t>Compliant</t>
        </is>
      </c>
      <c r="G3" s="40" t="inlineStr">
        <is>
          <t>SCA triage defines remediation/acceptance decisions for CVEs and suppressed findings.</t>
        </is>
      </c>
      <c r="H3" s="40" t="inlineStr">
        <is>
          <t>SCA_TRIAGE.md; DEVSECOPS_PIPELINE.md</t>
        </is>
      </c>
    </row>
    <row r="4" ht="75" customHeight="1" s="35">
      <c r="A4" s="19" t="inlineStr">
        <is>
          <t>V15.1</t>
        </is>
      </c>
      <c r="B4" s="19" t="inlineStr">
        <is>
          <t>Secure Coding and Architecture Documentation</t>
        </is>
      </c>
      <c r="C4" s="20" t="inlineStr">
        <is>
          <t>V15.1.2</t>
        </is>
      </c>
      <c r="D4" s="21" t="inlineStr">
        <is>
          <t>Verify that an inventory catalog, such as software bill of materials (SBOM), is maintained of all third-party libraries in use, including verifying that components come from pre-defined, trusted, and continually maintained repositories.</t>
        </is>
      </c>
      <c r="E4" s="17" t="n">
        <v>2</v>
      </c>
      <c r="F4" s="18" t="inlineStr">
        <is>
          <t>Compliant</t>
        </is>
      </c>
      <c r="G4" s="41" t="inlineStr">
        <is>
          <t>CycloneDX SBOM and dependency evidence are generated/documented in the DevSecOps flow.</t>
        </is>
      </c>
      <c r="H4" s="41" t="inlineStr">
        <is>
          <t>DEVSECOPS_PIPELINE.md; target/bom.xml when generated</t>
        </is>
      </c>
    </row>
    <row r="5" ht="120" customHeight="1" s="35">
      <c r="A5" s="14" t="inlineStr">
        <is>
          <t>V15.1</t>
        </is>
      </c>
      <c r="B5" s="14" t="inlineStr">
        <is>
          <t>Secure Coding and Architecture Documentation</t>
        </is>
      </c>
      <c r="C5" s="15" t="inlineStr">
        <is>
          <t>V15.1.3</t>
        </is>
      </c>
      <c r="D5" s="16"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17" t="n">
        <v>2</v>
      </c>
      <c r="F5" s="18" t="inlineStr">
        <is>
          <t>Compliant</t>
        </is>
      </c>
      <c r="G5" s="16" t="inlineStr">
        <is>
          <t>Resource-demanding functionality is identified and bounded: report creation, uploads/downloads, tracking, login, backups, packages, Hikari pool and Tomcat connection/thread limits.</t>
        </is>
      </c>
      <c r="H5" s="16" t="inlineStr">
        <is>
          <t>SECURE_INSTALLATION.md; application.yaml; RateLimiterService.java; BackupService.java</t>
        </is>
      </c>
    </row>
    <row r="6" ht="45" customHeight="1" s="35">
      <c r="A6" s="19" t="inlineStr">
        <is>
          <t>V15.1</t>
        </is>
      </c>
      <c r="B6" s="19" t="inlineStr">
        <is>
          <t>Secure Coding and Architecture Documentation</t>
        </is>
      </c>
      <c r="C6" s="20" t="inlineStr">
        <is>
          <t>V15.1.4</t>
        </is>
      </c>
      <c r="D6" s="21" t="inlineStr">
        <is>
          <t>Verify that application documentation highlights third-party libraries which are considered to be "risky components".</t>
        </is>
      </c>
      <c r="E6" s="23" t="n">
        <v>3</v>
      </c>
      <c r="F6" s="18" t="inlineStr">
        <is>
          <t>Compliant</t>
        </is>
      </c>
      <c r="G6" s="41" t="inlineStr">
        <is>
          <t>Risky/vulnerable components are documented with CVE, impact, applicability and decision.</t>
        </is>
      </c>
      <c r="H6" s="41" t="inlineStr">
        <is>
          <t>SCA_TRIAGE.md</t>
        </is>
      </c>
    </row>
    <row r="7" ht="95.25" customHeight="1" s="35">
      <c r="A7" s="14" t="inlineStr">
        <is>
          <t>V15.1</t>
        </is>
      </c>
      <c r="B7" s="14" t="inlineStr">
        <is>
          <t>Secure Coding and Architecture Documentation</t>
        </is>
      </c>
      <c r="C7" s="15" t="inlineStr">
        <is>
          <t>V15.1.5</t>
        </is>
      </c>
      <c r="D7" s="16" t="inlineStr">
        <is>
          <t>Verify that application documentation highlights parts of the application where "dangerous functionality" is being used.</t>
        </is>
      </c>
      <c r="E7" s="23" t="n">
        <v>3</v>
      </c>
      <c r="F7" s="18" t="inlineStr">
        <is>
          <t>In Progress</t>
        </is>
      </c>
      <c r="G7" s="16" t="inlineStr">
        <is>
          <t>Dangerous functionality such as file uploads, backup restore and evidence package generation exists and is protected in code, but a documented dangerous-functionality inventory was not found.</t>
        </is>
      </c>
      <c r="H7" s="16" t="inlineStr">
        <is>
          <t>FileStorageService.java; BackupService.java; CasePackageService.java; AdminBackupController.java</t>
        </is>
      </c>
    </row>
    <row r="8" ht="18" customHeight="1" s="35">
      <c r="A8" s="13" t="inlineStr">
        <is>
          <t>V15.2</t>
        </is>
      </c>
      <c r="B8" s="13" t="inlineStr">
        <is>
          <t>Security Architecture and Dependencies</t>
        </is>
      </c>
      <c r="C8" s="13" t="n"/>
      <c r="D8" s="13" t="n"/>
      <c r="E8" s="13" t="n"/>
      <c r="F8" s="13" t="n"/>
      <c r="G8" s="13" t="n"/>
      <c r="H8" s="13" t="n"/>
    </row>
    <row r="9" ht="92.25" customHeight="1" s="35">
      <c r="A9" s="14" t="inlineStr">
        <is>
          <t>V15.2</t>
        </is>
      </c>
      <c r="B9" s="14" t="inlineStr">
        <is>
          <t>Security Architecture and Dependencies</t>
        </is>
      </c>
      <c r="C9" s="15" t="inlineStr">
        <is>
          <t>V15.2.1</t>
        </is>
      </c>
      <c r="D9" s="16" t="inlineStr">
        <is>
          <t>Verify that the application only contains components which have not breached the documented update and remediation time frames.</t>
        </is>
      </c>
      <c r="E9" s="22" t="n">
        <v>1</v>
      </c>
      <c r="F9" s="18" t="inlineStr">
        <is>
          <t>Compliant</t>
        </is>
      </c>
      <c r="G9" s="40" t="inlineStr">
        <is>
          <t>Dependency-Check reports 0 unsuppressed vulnerabilities after Spring Security update to 6.5.11; two non-applicable findings are documented/suppressed.</t>
        </is>
      </c>
      <c r="H9" s="40" t="inlineStr">
        <is>
          <t>SCA_TRIAGE.md; dependency-check-report.*</t>
        </is>
      </c>
    </row>
    <row r="10" ht="60" customHeight="1" s="35">
      <c r="A10" s="19" t="inlineStr">
        <is>
          <t>V15.2</t>
        </is>
      </c>
      <c r="B10" s="19" t="inlineStr">
        <is>
          <t>Security Architecture and Dependencies</t>
        </is>
      </c>
      <c r="C10" s="20" t="inlineStr">
        <is>
          <t>V15.2.2</t>
        </is>
      </c>
      <c r="D10" s="21" t="inlineStr">
        <is>
          <t>Verify that the application has implemented defenses against loss of availability due to functionality which is time-consuming or resource-demanding, based on the documented security decisions and strategies for this.</t>
        </is>
      </c>
      <c r="E10" s="17" t="n">
        <v>2</v>
      </c>
      <c r="F10" s="18" t="inlineStr">
        <is>
          <t>Compliant</t>
        </is>
      </c>
      <c r="G10" s="21" t="inlineStr">
        <is>
          <t>Availability defenses include per-flow rate limits, report submission throttling, upload count/size/type checks, request header limits, Hikari/Tomcat resource limits and controlled backup validation.</t>
        </is>
      </c>
      <c r="H10" s="21" t="inlineStr">
        <is>
          <t>RateLimiterService.java; ReportController.java; SecurityConfig.java; application.yaml; FileStorageService.java</t>
        </is>
      </c>
    </row>
    <row r="11" ht="60" customHeight="1" s="35">
      <c r="A11" s="14" t="inlineStr">
        <is>
          <t>V15.2</t>
        </is>
      </c>
      <c r="B11" s="14" t="inlineStr">
        <is>
          <t>Security Architecture and Dependencies</t>
        </is>
      </c>
      <c r="C11" s="15" t="inlineStr">
        <is>
          <t>V15.2.3</t>
        </is>
      </c>
      <c r="D11" s="16" t="inlineStr">
        <is>
          <t>Verify that the production environment only includes functionality that is required for the application to function, and does not expose extraneous functionality such as test code, sample snippets, and development functionality.</t>
        </is>
      </c>
      <c r="E11" s="17" t="n">
        <v>2</v>
      </c>
      <c r="F11" s="18" t="inlineStr">
        <is>
          <t>Compliant</t>
        </is>
      </c>
      <c r="G11" s="16" t="inlineStr">
        <is>
          <t>Production-like configuration disables H2 console/seed users/dev secrets/stack traces and validates TLS/proxy/resource settings at startup.</t>
        </is>
      </c>
      <c r="H11" s="16" t="inlineStr">
        <is>
          <t>application.yaml; application-prod.yaml; SecurityConfigurationValidator.java; DataInitializerDisabledTest</t>
        </is>
      </c>
    </row>
    <row r="12" ht="75" customHeight="1" s="35">
      <c r="A12" s="19" t="inlineStr">
        <is>
          <t>V15.2</t>
        </is>
      </c>
      <c r="B12" s="19" t="inlineStr">
        <is>
          <t>Security Architecture and Dependencies</t>
        </is>
      </c>
      <c r="C12" s="20" t="inlineStr">
        <is>
          <t>V15.2.4</t>
        </is>
      </c>
      <c r="D12" s="21" t="inlineStr">
        <is>
          <t>Verify that third-party components and all of their transitive dependencies are included from the expected repository, whether internally owned or an external source, and that there is no risk of a dependency confusion attack.</t>
        </is>
      </c>
      <c r="E12" s="23" t="n">
        <v>3</v>
      </c>
      <c r="F12" s="18" t="inlineStr">
        <is>
          <t>In Progress</t>
        </is>
      </c>
      <c r="G12" s="41" t="inlineStr">
        <is>
          <t>Dependencies are resolved from Maven repositories and SBOM/SCA is generated; repository allowlisting/signature policy is not fully enforced.</t>
        </is>
      </c>
      <c r="H12" s="41" t="inlineStr">
        <is>
          <t>pom.xml; DEVSECOPS_PIPELINE.md</t>
        </is>
      </c>
    </row>
    <row r="13" ht="120" customHeight="1" s="35">
      <c r="A13" s="14" t="inlineStr">
        <is>
          <t>V15.2</t>
        </is>
      </c>
      <c r="B13" s="14" t="inlineStr">
        <is>
          <t>Security Architecture and Dependencies</t>
        </is>
      </c>
      <c r="C13" s="15" t="inlineStr">
        <is>
          <t>V15.2.5</t>
        </is>
      </c>
      <c r="D13" s="16"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23" t="n">
        <v>3</v>
      </c>
      <c r="F13" s="18" t="inlineStr">
        <is>
          <t>Compliant</t>
        </is>
      </c>
      <c r="G13" s="16" t="inlineStr">
        <is>
          <t>Dangerous operations such as backup create/download/restore, evidence package generation and file access are protected by RBAC, path validation and integrity checks.</t>
        </is>
      </c>
      <c r="H13" s="16" t="inlineStr">
        <is>
          <t>SecurityConfig.java; AdminBackupController.java; BackupService.java; CasePackageService.java; AdminBackupControllerSecurityTest</t>
        </is>
      </c>
    </row>
    <row r="14" ht="18" customHeight="1" s="35">
      <c r="A14" s="13" t="inlineStr">
        <is>
          <t>V15.3</t>
        </is>
      </c>
      <c r="B14" s="13" t="inlineStr">
        <is>
          <t>Defensive Coding</t>
        </is>
      </c>
      <c r="C14" s="13" t="n"/>
      <c r="D14" s="13" t="n"/>
      <c r="E14" s="13" t="n"/>
      <c r="F14" s="13" t="n"/>
      <c r="G14" s="13" t="n"/>
      <c r="H14" s="13" t="n"/>
    </row>
    <row r="15" ht="60" customHeight="1" s="35">
      <c r="A15" s="14" t="inlineStr">
        <is>
          <t>V15.3</t>
        </is>
      </c>
      <c r="B15" s="14" t="inlineStr">
        <is>
          <t>Defensive Coding</t>
        </is>
      </c>
      <c r="C15" s="15" t="inlineStr">
        <is>
          <t>V15.3.1</t>
        </is>
      </c>
      <c r="D15" s="16" t="inlineStr">
        <is>
          <t>Verify that the application only returns the required subset of fields from a data object. For example, it should not return an entire data object, as some individual fields should not be accessible to users.</t>
        </is>
      </c>
      <c r="E15" s="22" t="n">
        <v>1</v>
      </c>
      <c r="F15" s="18" t="inlineStr">
        <is>
          <t>Compliant</t>
        </is>
      </c>
      <c r="G15" s="40" t="inlineStr">
        <is>
          <t>DTO responses and role endpoints return only required fields for tested flows.</t>
        </is>
      </c>
      <c r="H15" s="40" t="inlineStr">
        <is>
          <t>DTOs; SECURITY_TESTING.md</t>
        </is>
      </c>
    </row>
    <row r="16" ht="45" customHeight="1" s="35">
      <c r="A16" s="19" t="inlineStr">
        <is>
          <t>V15.3</t>
        </is>
      </c>
      <c r="B16" s="19" t="inlineStr">
        <is>
          <t>Defensive Coding</t>
        </is>
      </c>
      <c r="C16" s="20" t="inlineStr">
        <is>
          <t>V15.3.2</t>
        </is>
      </c>
      <c r="D16" s="21" t="inlineStr">
        <is>
          <t>Verify that where the application backend makes calls to external URLs, it is configured to not follow redirects unless it is intended functionality.</t>
        </is>
      </c>
      <c r="E16" s="17" t="n">
        <v>2</v>
      </c>
      <c r="F16" s="18" t="inlineStr">
        <is>
          <t>Not Applicable</t>
        </is>
      </c>
      <c r="G16" s="21" t="inlineStr">
        <is>
          <t>Not applicable in the current system design.</t>
        </is>
      </c>
      <c r="H16" s="21" t="inlineStr">
        <is>
          <t>N/A – not in current system scope</t>
        </is>
      </c>
    </row>
    <row r="17" ht="60" customHeight="1" s="35">
      <c r="A17" s="14" t="inlineStr">
        <is>
          <t>V15.3</t>
        </is>
      </c>
      <c r="B17" s="14" t="inlineStr">
        <is>
          <t>Defensive Coding</t>
        </is>
      </c>
      <c r="C17" s="15" t="inlineStr">
        <is>
          <t>V15.3.3</t>
        </is>
      </c>
      <c r="D17" s="16"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17" t="n">
        <v>2</v>
      </c>
      <c r="F17" s="18" t="inlineStr">
        <is>
          <t>Compliant</t>
        </is>
      </c>
      <c r="G17" s="16" t="inlineStr">
        <is>
          <t>Controllers bind request bodies to DTOs rather than JPA entities, limiting mass assignment exposure for reports, users and case updates.</t>
        </is>
      </c>
      <c r="H17" s="16" t="inlineStr">
        <is>
          <t>ReportController.java; AdminController.java; AnalystController.java; dto package</t>
        </is>
      </c>
    </row>
    <row r="18" ht="105" customHeight="1" s="35">
      <c r="A18" s="19" t="inlineStr">
        <is>
          <t>V15.3</t>
        </is>
      </c>
      <c r="B18" s="19" t="inlineStr">
        <is>
          <t>Defensive Coding</t>
        </is>
      </c>
      <c r="C18" s="20" t="inlineStr">
        <is>
          <t>V15.3.4</t>
        </is>
      </c>
      <c r="D18" s="21"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17" t="n">
        <v>2</v>
      </c>
      <c r="F18" s="18" t="inlineStr">
        <is>
          <t>Compliant</t>
        </is>
      </c>
      <c r="G18" s="21" t="inlineStr">
        <is>
          <t>Reverse-proxy deployments must opt in to framework/native forwarded-header processing and trusted-proxy mode; otherwise the app uses servlet remote address directly.</t>
        </is>
      </c>
      <c r="H18" s="21" t="inlineStr">
        <is>
          <t>SecurityConfigurationValidator.java; application-prod.yaml; SecurityConfigurationValidatorTest</t>
        </is>
      </c>
    </row>
    <row r="19" ht="75" customHeight="1" s="35">
      <c r="A19" s="14" t="inlineStr">
        <is>
          <t>V15.3</t>
        </is>
      </c>
      <c r="B19" s="14" t="inlineStr">
        <is>
          <t>Defensive Coding</t>
        </is>
      </c>
      <c r="C19" s="15" t="inlineStr">
        <is>
          <t>V15.3.5</t>
        </is>
      </c>
      <c r="D19" s="16"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17" t="n">
        <v>2</v>
      </c>
      <c r="F19" s="18" t="inlineStr">
        <is>
          <t>Compliant</t>
        </is>
      </c>
      <c r="G19" s="40" t="inlineStr">
        <is>
          <t>Java typing, DTO validation and Bean Validation enforce expected types in controllers/services.</t>
        </is>
      </c>
      <c r="H19" s="40" t="inlineStr">
        <is>
          <t>DTOs; controllers; mvn test</t>
        </is>
      </c>
    </row>
    <row r="20" ht="30" customHeight="1" s="35">
      <c r="A20" s="19" t="inlineStr">
        <is>
          <t>V15.3</t>
        </is>
      </c>
      <c r="B20" s="19" t="inlineStr">
        <is>
          <t>Defensive Coding</t>
        </is>
      </c>
      <c r="C20" s="20" t="inlineStr">
        <is>
          <t>V15.3.6</t>
        </is>
      </c>
      <c r="D20" s="21" t="inlineStr">
        <is>
          <t>Verify that JavaScript code is written in a way that prevents prototype pollution, for example, by using Set() or Map() instead of object literals.</t>
        </is>
      </c>
      <c r="E20" s="17" t="n">
        <v>2</v>
      </c>
      <c r="F20" s="18" t="inlineStr">
        <is>
          <t>Not Applicable</t>
        </is>
      </c>
      <c r="G20" s="21" t="inlineStr">
        <is>
          <t>Not applicable in the current system design.</t>
        </is>
      </c>
      <c r="H20" s="21" t="inlineStr">
        <is>
          <t>N/A – not in current system scope</t>
        </is>
      </c>
    </row>
    <row r="21" ht="60" customHeight="1" s="35">
      <c r="A21" s="14" t="inlineStr">
        <is>
          <t>V15.3</t>
        </is>
      </c>
      <c r="B21" s="14" t="inlineStr">
        <is>
          <t>Defensive Coding</t>
        </is>
      </c>
      <c r="C21" s="15" t="inlineStr">
        <is>
          <t>V15.3.7</t>
        </is>
      </c>
      <c r="D21" s="16" t="inlineStr">
        <is>
          <t>Verify that the application has defenses against HTTP parameter pollution attacks, particularly if the application framework makes no distinction about the source of request parameters (query string, body parameters, cookies, or header fields).</t>
        </is>
      </c>
      <c r="E21" s="17" t="n">
        <v>2</v>
      </c>
      <c r="F21" s="18" t="inlineStr">
        <is>
          <t>In Progress</t>
        </is>
      </c>
      <c r="G21" s="40" t="inlineStr">
        <is>
          <t>Runtime negative cases include malformed/wrong content-type inputs; full HTTP parameter pollution review remains partial.</t>
        </is>
      </c>
      <c r="H21" s="40" t="inlineStr">
        <is>
          <t>runtime-endpoints.md</t>
        </is>
      </c>
    </row>
    <row r="22" ht="18" customHeight="1" s="35">
      <c r="A22" s="13" t="inlineStr">
        <is>
          <t>V15.4</t>
        </is>
      </c>
      <c r="B22" s="13" t="inlineStr">
        <is>
          <t>Safe Concurrency</t>
        </is>
      </c>
      <c r="C22" s="13" t="n"/>
      <c r="D22" s="13" t="n"/>
      <c r="E22" s="13" t="n"/>
      <c r="F22" s="13" t="n"/>
      <c r="G22" s="13" t="n"/>
      <c r="H22" s="13" t="n"/>
    </row>
    <row r="23" ht="75" customHeight="1" s="35">
      <c r="A23" s="14" t="inlineStr">
        <is>
          <t>V15.4</t>
        </is>
      </c>
      <c r="B23" s="14" t="inlineStr">
        <is>
          <t>Safe Concurrency</t>
        </is>
      </c>
      <c r="C23" s="15" t="inlineStr">
        <is>
          <t>V15.4.1</t>
        </is>
      </c>
      <c r="D23" s="16"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23" t="n">
        <v>3</v>
      </c>
      <c r="F23" s="18" t="inlineStr">
        <is>
          <t>In Progress</t>
        </is>
      </c>
      <c r="G23" s="16" t="inlineStr">
        <is>
          <t>Rate limiting and security monitoring use ConcurrentHashMap, but other shared business resources such as assignment and backups lack concurrency tests.</t>
        </is>
      </c>
      <c r="H23" s="16" t="inlineStr">
        <is>
          <t>RateLimiterService.java; SecurityMonitoringService.java; RateLimiterServiceTest</t>
        </is>
      </c>
    </row>
    <row r="24" ht="90" customHeight="1" s="35">
      <c r="A24" s="19" t="inlineStr">
        <is>
          <t>V15.4</t>
        </is>
      </c>
      <c r="B24" s="19" t="inlineStr">
        <is>
          <t>Safe Concurrency</t>
        </is>
      </c>
      <c r="C24" s="20" t="inlineStr">
        <is>
          <t>V15.4.2</t>
        </is>
      </c>
      <c r="D24" s="21"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23" t="n">
        <v>3</v>
      </c>
      <c r="F24" s="18" t="inlineStr">
        <is>
          <t>In Progress</t>
        </is>
      </c>
      <c r="G24" s="21" t="inlineStr">
        <is>
          <t>Some path checks and restore staging reduce TOCTOU risk, but case assignment and backup operations lack transactional/locking evidence for atomic state changes.</t>
        </is>
      </c>
      <c r="H24" s="21" t="inlineStr">
        <is>
          <t>BackupService.java; CaseReviewService.java; No concurrency tests found</t>
        </is>
      </c>
    </row>
    <row r="25" ht="75" customHeight="1" s="35">
      <c r="A25" s="14" t="inlineStr">
        <is>
          <t>V15.4</t>
        </is>
      </c>
      <c r="B25" s="14" t="inlineStr">
        <is>
          <t>Safe Concurrency</t>
        </is>
      </c>
      <c r="C25" s="15" t="inlineStr">
        <is>
          <t>V15.4.3</t>
        </is>
      </c>
      <c r="D25" s="16"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23" t="n">
        <v>3</v>
      </c>
      <c r="F25" s="18" t="inlineStr">
        <is>
          <t>In Progress</t>
        </is>
      </c>
      <c r="G25" s="16" t="inlineStr">
        <is>
          <t>Thread-safe map updates are localized in rate limiting/monitoring, but no broader locking design for resource-management code was found.</t>
        </is>
      </c>
      <c r="H25" s="16" t="inlineStr">
        <is>
          <t>RateLimiterService.java; SecurityMonitoringService.java</t>
        </is>
      </c>
    </row>
    <row r="26" ht="60" customHeight="1" s="35">
      <c r="A26" s="19" t="inlineStr">
        <is>
          <t>V15.4</t>
        </is>
      </c>
      <c r="B26" s="19" t="inlineStr">
        <is>
          <t>Safe Concurrency</t>
        </is>
      </c>
      <c r="C26" s="20" t="inlineStr">
        <is>
          <t>V15.4.4</t>
        </is>
      </c>
      <c r="D26" s="21" t="inlineStr">
        <is>
          <t>Verify that resource allocation policies prevent thread starvation by ensuring fair access to resources, such as by leveraging thread pools, allowing lower-priority threads to proceed within a reasonable timeframe.</t>
        </is>
      </c>
      <c r="E26" s="23" t="n">
        <v>3</v>
      </c>
      <c r="F26" s="18" t="inlineStr">
        <is>
          <t>In Progress</t>
        </is>
      </c>
      <c r="G26" s="21" t="inlineStr">
        <is>
          <t>Concurrency risks (race conditions, TOCTOU, thread safety) are identified, but specific synchronization mechanisms and safe access patterns are not yet defined.</t>
        </is>
      </c>
      <c r="H26" s="21" t="inlineStr">
        <is>
          <t>DESOFS Phase 1: RF2/RF7/RF8; §5.4 RS9-RS11; AC3/AC6/AC7; STRIDE P2/P3; §12 tests</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18.xml><?xml version="1.0" encoding="utf-8"?>
<worksheet xmlns="http://schemas.openxmlformats.org/spreadsheetml/2006/main">
  <sheetPr>
    <outlinePr summaryBelow="1" summaryRight="1"/>
    <pageSetUpPr/>
  </sheetPr>
  <dimension ref="A1:H23"/>
  <sheetViews>
    <sheetView topLeftCell="A12" zoomScale="80" zoomScaleNormal="80" workbookViewId="0">
      <selection activeCell="K23" sqref="K2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V16.1</t>
        </is>
      </c>
      <c r="B2" s="13" t="inlineStr">
        <is>
          <t>Security Logging Documentation</t>
        </is>
      </c>
      <c r="C2" s="13" t="n"/>
      <c r="D2" s="13" t="n"/>
      <c r="E2" s="13" t="n"/>
      <c r="F2" s="13" t="n"/>
      <c r="G2" s="13" t="n"/>
      <c r="H2" s="13" t="n"/>
    </row>
    <row r="3" ht="75" customHeight="1" s="35">
      <c r="A3" s="14" t="inlineStr">
        <is>
          <t>V16.1</t>
        </is>
      </c>
      <c r="B3" s="14" t="inlineStr">
        <is>
          <t>Security Logging Documentation</t>
        </is>
      </c>
      <c r="C3" s="15" t="inlineStr">
        <is>
          <t>V16.1.1</t>
        </is>
      </c>
      <c r="D3" s="16"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17" t="n">
        <v>2</v>
      </c>
      <c r="F3" s="18" t="inlineStr">
        <is>
          <t>Compliant</t>
        </is>
      </c>
      <c r="G3" s="40" t="inlineStr">
        <is>
          <t>Logging/audit/security-alert behavior and sanitization evidence are documented for Sprint 2.</t>
        </is>
      </c>
      <c r="H3" s="40" t="inlineStr">
        <is>
          <t>runtime-log-sanitization.md; IAST_RUNTIME_SECURITY.md</t>
        </is>
      </c>
    </row>
    <row r="4" ht="18" customHeight="1" s="35">
      <c r="A4" s="13" t="inlineStr">
        <is>
          <t>V16.2</t>
        </is>
      </c>
      <c r="B4" s="13" t="inlineStr">
        <is>
          <t>General Logging</t>
        </is>
      </c>
      <c r="C4" s="13" t="n"/>
      <c r="D4" s="13" t="n"/>
      <c r="E4" s="13" t="n"/>
      <c r="F4" s="13" t="n"/>
      <c r="G4" s="13" t="n"/>
      <c r="H4" s="13" t="n"/>
    </row>
    <row r="5" ht="60" customHeight="1" s="35">
      <c r="A5" s="14" t="inlineStr">
        <is>
          <t>V16.2</t>
        </is>
      </c>
      <c r="B5" s="14" t="inlineStr">
        <is>
          <t>General Logging</t>
        </is>
      </c>
      <c r="C5" s="15" t="inlineStr">
        <is>
          <t>V16.2.1</t>
        </is>
      </c>
      <c r="D5" s="16" t="inlineStr">
        <is>
          <t>Verify that each log entry includes necessary metadata (such as when, where, who, what) that would allow for a detailed investigation of the timeline when an event happens.</t>
        </is>
      </c>
      <c r="E5" s="17" t="n">
        <v>2</v>
      </c>
      <c r="F5" s="18" t="inlineStr">
        <is>
          <t>Compliant</t>
        </is>
      </c>
      <c r="G5" s="16" t="inlineStr">
        <is>
          <t>Audit and security alert entries include timestamp, actor, event type/action, target type, target id and details/description.</t>
        </is>
      </c>
      <c r="H5" s="16" t="inlineStr">
        <is>
          <t>AuditLog.java; SecurityAlert.java; AuditLogService.java; SecurityMonitoringService.java</t>
        </is>
      </c>
    </row>
    <row r="6" ht="75" customHeight="1" s="35">
      <c r="A6" s="19" t="inlineStr">
        <is>
          <t>V16.2</t>
        </is>
      </c>
      <c r="B6" s="19" t="inlineStr">
        <is>
          <t>General Logging</t>
        </is>
      </c>
      <c r="C6" s="20" t="inlineStr">
        <is>
          <t>V16.2.2</t>
        </is>
      </c>
      <c r="D6" s="21"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17" t="n">
        <v>2</v>
      </c>
      <c r="F6" s="18" t="inlineStr">
        <is>
          <t>Compliant</t>
        </is>
      </c>
      <c r="G6" s="21" t="inlineStr">
        <is>
          <t>Audit/security timestamps are generated from Instant in UTC and error responses use ISO-8601 Instant timestamps.</t>
        </is>
      </c>
      <c r="H6" s="21" t="inlineStr">
        <is>
          <t>AuditLogService.java; SecurityMonitoringService.java; AuditLog.java; SecurityAlert.java; GlobalExceptionHandler.java</t>
        </is>
      </c>
    </row>
    <row r="7" ht="63.75" customHeight="1" s="35">
      <c r="A7" s="14" t="inlineStr">
        <is>
          <t>V16.2</t>
        </is>
      </c>
      <c r="B7" s="14" t="inlineStr">
        <is>
          <t>General Logging</t>
        </is>
      </c>
      <c r="C7" s="15" t="inlineStr">
        <is>
          <t>V16.2.3</t>
        </is>
      </c>
      <c r="D7" s="16" t="inlineStr">
        <is>
          <t>Verify that the application only stores or broadcasts logs to the files and services that are documented in the log inventory.</t>
        </is>
      </c>
      <c r="E7" s="17" t="n">
        <v>2</v>
      </c>
      <c r="F7" s="18" t="inlineStr">
        <is>
          <t>Compliant</t>
        </is>
      </c>
      <c r="G7" s="40" t="inlineStr">
        <is>
          <t>Runtime artefacts verify redaction and document where runtime logs/evidence are generated.</t>
        </is>
      </c>
      <c r="H7" s="40" t="inlineStr">
        <is>
          <t>runtime-log-sanitization.md; target/iast-evidence</t>
        </is>
      </c>
    </row>
    <row r="8" ht="60" customHeight="1" s="35">
      <c r="A8" s="19" t="inlineStr">
        <is>
          <t>V16.2</t>
        </is>
      </c>
      <c r="B8" s="19" t="inlineStr">
        <is>
          <t>General Logging</t>
        </is>
      </c>
      <c r="C8" s="20" t="inlineStr">
        <is>
          <t>V16.2.4</t>
        </is>
      </c>
      <c r="D8" s="21" t="inlineStr">
        <is>
          <t>Verify that logs can be read and correlated by the log processor that is in use, preferably by using a common logging format.</t>
        </is>
      </c>
      <c r="E8" s="17" t="n">
        <v>2</v>
      </c>
      <c r="F8" s="18" t="inlineStr">
        <is>
          <t>Compliant</t>
        </is>
      </c>
      <c r="G8" s="21" t="inlineStr">
        <is>
          <t>Security events are structured JPA entities with correlation id, actor, action/type, target metadata, sanitized details and integrity hash; APIs expose DTOs for review.</t>
        </is>
      </c>
      <c r="H8" s="21" t="inlineStr">
        <is>
          <t>AuditLog.java; SecurityAlert.java; AuditLogService.java; SecurityMonitoringService.java; AuditController.java</t>
        </is>
      </c>
    </row>
    <row r="9" ht="75" customHeight="1" s="35">
      <c r="A9" s="14" t="inlineStr">
        <is>
          <t>V16.2</t>
        </is>
      </c>
      <c r="B9" s="14" t="inlineStr">
        <is>
          <t>General Logging</t>
        </is>
      </c>
      <c r="C9" s="15" t="inlineStr">
        <is>
          <t>V16.2.5</t>
        </is>
      </c>
      <c r="D9" s="16"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17" t="n">
        <v>2</v>
      </c>
      <c r="F9" s="18" t="inlineStr">
        <is>
          <t>Compliant</t>
        </is>
      </c>
      <c r="G9" s="40" t="inlineStr">
        <is>
          <t>Runtime evidence redacts JWTs, tracking codes, MFA codes/challenge IDs, passwords and secrets.</t>
        </is>
      </c>
      <c r="H9" s="40" t="inlineStr">
        <is>
          <t>runtime-log-sanitization.md; runtime-probe-summary.json</t>
        </is>
      </c>
    </row>
    <row r="10" ht="18" customHeight="1" s="35">
      <c r="A10" s="13" t="inlineStr">
        <is>
          <t>V16.3</t>
        </is>
      </c>
      <c r="B10" s="13" t="inlineStr">
        <is>
          <t>Security Events</t>
        </is>
      </c>
      <c r="C10" s="13" t="n"/>
      <c r="D10" s="13" t="n"/>
      <c r="E10" s="13" t="n"/>
      <c r="F10" s="13" t="n"/>
      <c r="G10" s="13" t="n"/>
      <c r="H10" s="13" t="n"/>
    </row>
    <row r="11" ht="60" customHeight="1" s="35">
      <c r="A11" s="14" t="inlineStr">
        <is>
          <t>V16.3</t>
        </is>
      </c>
      <c r="B11" s="14" t="inlineStr">
        <is>
          <t>Security Events</t>
        </is>
      </c>
      <c r="C11" s="15" t="inlineStr">
        <is>
          <t>V16.3.1</t>
        </is>
      </c>
      <c r="D11" s="16" t="inlineStr">
        <is>
          <t>Verify that all authentication operations are logged, including successful and unsuccessful attempts. Additional metadata, such as the type of authentication or factors used, should also be collected.</t>
        </is>
      </c>
      <c r="E11" s="17" t="n">
        <v>2</v>
      </c>
      <c r="F11" s="18" t="inlineStr">
        <is>
          <t>Compliant</t>
        </is>
      </c>
      <c r="G11" s="40" t="inlineStr">
        <is>
          <t>Login/MFA/logout and invalid authentication flows are exercised by runtime probes and audit/security services.</t>
        </is>
      </c>
      <c r="H11" s="40" t="inlineStr">
        <is>
          <t>runtime-endpoints.md; AuditLogService.java</t>
        </is>
      </c>
    </row>
    <row r="12" ht="75" customHeight="1" s="35">
      <c r="A12" s="19" t="inlineStr">
        <is>
          <t>V16.3</t>
        </is>
      </c>
      <c r="B12" s="19" t="inlineStr">
        <is>
          <t>Security Events</t>
        </is>
      </c>
      <c r="C12" s="20" t="inlineStr">
        <is>
          <t>V16.3.2</t>
        </is>
      </c>
      <c r="D12" s="21" t="inlineStr">
        <is>
          <t>Verify that failed authorization attempts are logged. For L3, this must include logging all authorization decisions, including logging when sensitive data is accessed (without logging the sensitive data itself).</t>
        </is>
      </c>
      <c r="E12" s="17" t="n">
        <v>2</v>
      </c>
      <c r="F12" s="18" t="inlineStr">
        <is>
          <t>Compliant</t>
        </is>
      </c>
      <c r="G12" s="41" t="inlineStr">
        <is>
          <t>Role-crossing and missing/invalid token attempts are exercised with controlled 401/403 responses.</t>
        </is>
      </c>
      <c r="H12" s="41" t="inlineStr">
        <is>
          <t>runtime-endpoints.md</t>
        </is>
      </c>
    </row>
    <row r="13" ht="81" customHeight="1" s="35">
      <c r="A13" s="14" t="inlineStr">
        <is>
          <t>V16.3</t>
        </is>
      </c>
      <c r="B13" s="14" t="inlineStr">
        <is>
          <t>Security Events</t>
        </is>
      </c>
      <c r="C13" s="15" t="inlineStr">
        <is>
          <t>V16.3.3</t>
        </is>
      </c>
      <c r="D13" s="16" t="inlineStr">
        <is>
          <t>Verify that the application logs the security events that are defined in the documentation and also logs attempts to bypass the security controls, such as input validation, business logic, and anti-automation.</t>
        </is>
      </c>
      <c r="E13" s="17" t="n">
        <v>2</v>
      </c>
      <c r="F13" s="18" t="inlineStr">
        <is>
          <t>Compliant</t>
        </is>
      </c>
      <c r="G13" s="16" t="inlineStr">
        <is>
          <t>Security bypass attempts such as tracking-code enumeration, rejected uploads, path traversal, backup integrity failures and ownership violations create security alerts.</t>
        </is>
      </c>
      <c r="H13" s="16" t="inlineStr">
        <is>
          <t>SecurityMonitoringService.java; TrackingCodeEnumerationTest; FileStorageServiceTest; AnalystCaseOwnershipTest</t>
        </is>
      </c>
    </row>
    <row r="14" ht="45" customHeight="1" s="35">
      <c r="A14" s="19" t="inlineStr">
        <is>
          <t>V16.3</t>
        </is>
      </c>
      <c r="B14" s="19" t="inlineStr">
        <is>
          <t>Security Events</t>
        </is>
      </c>
      <c r="C14" s="20" t="inlineStr">
        <is>
          <t>V16.3.4</t>
        </is>
      </c>
      <c r="D14" s="21" t="inlineStr">
        <is>
          <t>Verify that the application logs unexpected errors and security control failures such as backend TLS failures.</t>
        </is>
      </c>
      <c r="E14" s="17" t="n">
        <v>2</v>
      </c>
      <c r="F14" s="18" t="inlineStr">
        <is>
          <t>Compliant</t>
        </is>
      </c>
      <c r="G14" s="41" t="inlineStr">
        <is>
          <t>Unexpected errors are centrally audited and converted to security alerts while responses remain generic.</t>
        </is>
      </c>
      <c r="H14" s="41" t="inlineStr">
        <is>
          <t>GlobalExceptionHandler.java; SecurityMonitoringService.java; GlobalExceptionHandlerTest</t>
        </is>
      </c>
    </row>
    <row r="15" ht="18" customHeight="1" s="35">
      <c r="A15" s="13" t="inlineStr">
        <is>
          <t>V16.4</t>
        </is>
      </c>
      <c r="B15" s="13" t="inlineStr">
        <is>
          <t>Log Protection</t>
        </is>
      </c>
      <c r="C15" s="13" t="n"/>
      <c r="D15" s="13" t="n"/>
      <c r="E15" s="13" t="n"/>
      <c r="F15" s="13" t="n"/>
      <c r="G15" s="13" t="n"/>
      <c r="H15" s="13" t="n"/>
    </row>
    <row r="16" ht="45" customHeight="1" s="35">
      <c r="A16" s="14" t="inlineStr">
        <is>
          <t>V16.4</t>
        </is>
      </c>
      <c r="B16" s="14" t="inlineStr">
        <is>
          <t>Log Protection</t>
        </is>
      </c>
      <c r="C16" s="15" t="inlineStr">
        <is>
          <t>V16.4.1</t>
        </is>
      </c>
      <c r="D16" s="16" t="inlineStr">
        <is>
          <t>Verify that all logging components appropriately encode data to prevent log injection.</t>
        </is>
      </c>
      <c r="E16" s="17" t="n">
        <v>2</v>
      </c>
      <c r="F16" s="18" t="inlineStr">
        <is>
          <t>Compliant</t>
        </is>
      </c>
      <c r="G16" s="40" t="inlineStr">
        <is>
          <t>Log sanitization and artefact redaction are explicitly tested/documented for runtime evidence.</t>
        </is>
      </c>
      <c r="H16" s="40" t="inlineStr">
        <is>
          <t>runtime-log-sanitization.md</t>
        </is>
      </c>
    </row>
    <row r="17" ht="75" customHeight="1" s="35">
      <c r="A17" s="19" t="inlineStr">
        <is>
          <t>V16.4</t>
        </is>
      </c>
      <c r="B17" s="19" t="inlineStr">
        <is>
          <t>Log Protection</t>
        </is>
      </c>
      <c r="C17" s="20" t="inlineStr">
        <is>
          <t>V16.4.2</t>
        </is>
      </c>
      <c r="D17" s="21" t="inlineStr">
        <is>
          <t>Verify that logs are protected from unauthorized access and cannot be modified.</t>
        </is>
      </c>
      <c r="E17" s="17" t="n">
        <v>2</v>
      </c>
      <c r="F17" s="18" t="inlineStr">
        <is>
          <t>In Progress</t>
        </is>
      </c>
      <c r="G17" s="41" t="inlineStr">
        <is>
          <t>Admin/auditor access controls protect logs in-app; external immutable log storage is not implemented.</t>
        </is>
      </c>
      <c r="H17" s="41" t="inlineStr">
        <is>
          <t>AUTHORIZATION_MATRIX.md; SECURE_INSTALLATION.md</t>
        </is>
      </c>
    </row>
    <row r="18" ht="30" customHeight="1" s="35">
      <c r="A18" s="14" t="inlineStr">
        <is>
          <t>V16.4</t>
        </is>
      </c>
      <c r="B18" s="14" t="inlineStr">
        <is>
          <t>Log Protection</t>
        </is>
      </c>
      <c r="C18" s="15" t="inlineStr">
        <is>
          <t>V16.4.3</t>
        </is>
      </c>
      <c r="D18" s="16" t="inlineStr">
        <is>
          <t>Verify that logs are securely transmitted to a logically separate system for analysis, detection, alerting, and escalation. The aim is to ensure that if the application is breached, the logs are not compromised.</t>
        </is>
      </c>
      <c r="E18" s="17" t="n">
        <v>2</v>
      </c>
      <c r="F18" s="18" t="inlineStr">
        <is>
          <t>Not Started</t>
        </is>
      </c>
      <c r="G18" s="16" t="inlineStr">
        <is>
          <t>Backup and upload failures are logged in selected services, but GlobalExceptionHandler does not log unexpected exceptions or security control failures centrally.</t>
        </is>
      </c>
      <c r="H18" s="16" t="inlineStr">
        <is>
          <t>DESOFS Phase 1: RNF4-RNF5; §5.5 RS12-RS13; AC12; STRIDE D3/P7; §12 tests</t>
        </is>
      </c>
    </row>
    <row r="19" ht="18" customHeight="1" s="35">
      <c r="A19" s="13" t="inlineStr">
        <is>
          <t>V16.5</t>
        </is>
      </c>
      <c r="B19" s="13" t="inlineStr">
        <is>
          <t>Error Handling</t>
        </is>
      </c>
      <c r="C19" s="13" t="n"/>
      <c r="D19" s="13" t="n"/>
      <c r="E19" s="13" t="n"/>
      <c r="F19" s="13" t="n"/>
      <c r="G19" s="13" t="n"/>
      <c r="H19" s="13" t="n"/>
    </row>
    <row r="20" ht="75" customHeight="1" s="35">
      <c r="A20" s="14" t="inlineStr">
        <is>
          <t>V16.5</t>
        </is>
      </c>
      <c r="B20" s="14" t="inlineStr">
        <is>
          <t>Error Handling</t>
        </is>
      </c>
      <c r="C20" s="15" t="inlineStr">
        <is>
          <t>V16.5.1</t>
        </is>
      </c>
      <c r="D20" s="16" t="inlineStr">
        <is>
          <t>Verify that a generic message is returned to the consumer when an unexpected or security-sensitive error occurs, ensuring no exposure of sensitive internal system data such as stack traces, queries, secret keys, and tokens.</t>
        </is>
      </c>
      <c r="E20" s="17" t="n">
        <v>2</v>
      </c>
      <c r="F20" s="18" t="inlineStr">
        <is>
          <t>Compliant</t>
        </is>
      </c>
      <c r="G20" s="16" t="inlineStr">
        <is>
          <t>GlobalExceptionHandler returns controlled errors and production configuration suppresses stack traces.</t>
        </is>
      </c>
      <c r="H20" s="16" t="inlineStr">
        <is>
          <t>GlobalExceptionHandler.java; application.yaml; PublicReportFlowIntegrationTest; ReportControllerAttachmentUploadTest</t>
        </is>
      </c>
    </row>
    <row r="21" ht="60" customHeight="1" s="35">
      <c r="A21" s="19" t="inlineStr">
        <is>
          <t>V16.5</t>
        </is>
      </c>
      <c r="B21" s="19" t="inlineStr">
        <is>
          <t>Error Handling</t>
        </is>
      </c>
      <c r="C21" s="20" t="inlineStr">
        <is>
          <t>V16.5.2</t>
        </is>
      </c>
      <c r="D21" s="21" t="inlineStr">
        <is>
          <t>Verify that the application continues to operate securely when external resource access fails, for example, by using patterns such as circuit breakers or graceful degradation.</t>
        </is>
      </c>
      <c r="E21" s="17" t="n">
        <v>2</v>
      </c>
      <c r="F21" s="18" t="inlineStr">
        <is>
          <t>Compliant</t>
        </is>
      </c>
      <c r="G21" s="41" t="inlineStr">
        <is>
          <t>External/resource failures are handled with controlled errors for uploads, backups, packages and malformed runtime requests without exposing stack traces or paths.</t>
        </is>
      </c>
      <c r="H21" s="41" t="inlineStr">
        <is>
          <t>GlobalExceptionHandler.java; BackupService.java; FileStorageService.java; runtime-endpoints.md</t>
        </is>
      </c>
    </row>
    <row r="22" ht="60" customHeight="1" s="35">
      <c r="A22" s="14" t="inlineStr">
        <is>
          <t>V16.5</t>
        </is>
      </c>
      <c r="B22" s="14" t="inlineStr">
        <is>
          <t>Error Handling</t>
        </is>
      </c>
      <c r="C22" s="15" t="inlineStr">
        <is>
          <t>V16.5.3</t>
        </is>
      </c>
      <c r="D22" s="16" t="inlineStr">
        <is>
          <t>Verify that the application fails gracefully and securely, including when an exception occurs, preventing fail-open conditions such as processing a transaction despite errors resulting from validation logic.</t>
        </is>
      </c>
      <c r="E22" s="17" t="n">
        <v>2</v>
      </c>
      <c r="F22" s="18" t="inlineStr">
        <is>
          <t>Compliant</t>
        </is>
      </c>
      <c r="G22" s="40" t="inlineStr">
        <is>
          <t>Malformed JSON, wrong method/content type, invalid token and invalid filename probes return controlled responses without stack traces.</t>
        </is>
      </c>
      <c r="H22" s="40" t="inlineStr">
        <is>
          <t>runtime-endpoints.md</t>
        </is>
      </c>
    </row>
    <row r="23" ht="75" customHeight="1" s="35">
      <c r="A23" s="19" t="inlineStr">
        <is>
          <t>V16.5</t>
        </is>
      </c>
      <c r="B23" s="19" t="inlineStr">
        <is>
          <t>Error Handling</t>
        </is>
      </c>
      <c r="C23" s="20" t="inlineStr">
        <is>
          <t>V16.5.4</t>
        </is>
      </c>
      <c r="D23" s="21"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23" t="n">
        <v>3</v>
      </c>
      <c r="F23" s="18" t="inlineStr">
        <is>
          <t>Compliant</t>
        </is>
      </c>
      <c r="G23" s="21" t="inlineStr">
        <is>
          <t>A global @RestControllerAdvice catches ResponseStatusException, validation errors, access denied errors and generic exceptions.</t>
        </is>
      </c>
      <c r="H23" s="21" t="inlineStr">
        <is>
          <t>GlobalExceptionHandler.java</t>
        </is>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3"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6"/>
  <sheetViews>
    <sheetView tabSelected="1" zoomScale="60" zoomScaleNormal="60" workbookViewId="0">
      <selection activeCell="L12" sqref="L12"/>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33"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V17.1</t>
        </is>
      </c>
      <c r="B2" s="13" t="inlineStr">
        <is>
          <t>TURN Server</t>
        </is>
      </c>
      <c r="C2" s="13" t="n"/>
      <c r="D2" s="13" t="n"/>
      <c r="E2" s="13" t="n"/>
      <c r="F2" s="13" t="n"/>
      <c r="G2" s="13" t="n"/>
      <c r="H2" s="13" t="n"/>
    </row>
    <row r="3" ht="60" customHeight="1" s="35">
      <c r="A3" s="14" t="inlineStr">
        <is>
          <t>V17.1</t>
        </is>
      </c>
      <c r="B3" s="14" t="inlineStr">
        <is>
          <t>TURN Server</t>
        </is>
      </c>
      <c r="C3" s="15" t="inlineStr">
        <is>
          <t>V17.1.1</t>
        </is>
      </c>
      <c r="D3" s="16" t="inlineStr">
        <is>
          <t>Verify that the Traversal Using Relays around NAT (TURN) service only allows access to IP addresses that are not reserved for special purposes (e.g., internal networks, broadcast, loopback). Note that this applies to both IPv4 and IPv6 addresses.</t>
        </is>
      </c>
      <c r="E3" s="17" t="n">
        <v>2</v>
      </c>
      <c r="F3" s="18" t="inlineStr">
        <is>
          <t>Not Applicable</t>
        </is>
      </c>
      <c r="G3" s="16" t="inlineStr">
        <is>
          <t>Not applicable – the application does not use TURN servers or NAT traversal mechanisms.</t>
        </is>
      </c>
      <c r="H3" s="16" t="inlineStr">
        <is>
          <t>DESOFS Phase 1: system scope excludes real-time communication/media services</t>
        </is>
      </c>
    </row>
    <row r="4" ht="45" customHeight="1" s="35">
      <c r="A4" s="19" t="inlineStr">
        <is>
          <t>V17.1</t>
        </is>
      </c>
      <c r="B4" s="19" t="inlineStr">
        <is>
          <t>TURN Server</t>
        </is>
      </c>
      <c r="C4" s="20" t="inlineStr">
        <is>
          <t>V17.1.2</t>
        </is>
      </c>
      <c r="D4" s="21" t="inlineStr">
        <is>
          <t>Verify that the Traversal Using Relays around NAT (TURN) service is not susceptible to resource exhaustion when legitimate users attempt to open a large number of ports on the TURN server.</t>
        </is>
      </c>
      <c r="E4" s="23" t="n">
        <v>3</v>
      </c>
      <c r="F4" s="18" t="inlineStr">
        <is>
          <t>Not Applicable</t>
        </is>
      </c>
      <c r="G4" s="21" t="inlineStr">
        <is>
          <t>Not applicable – the application does not use TURN servers or NAT traversal mechanisms.</t>
        </is>
      </c>
      <c r="H4" s="21" t="inlineStr">
        <is>
          <t>DESOFS Phase 1: system scope excludes real-time communication/media services</t>
        </is>
      </c>
    </row>
    <row r="5" ht="18" customHeight="1" s="35">
      <c r="A5" s="13" t="inlineStr">
        <is>
          <t>V17.2</t>
        </is>
      </c>
      <c r="B5" s="13" t="inlineStr">
        <is>
          <t>Media</t>
        </is>
      </c>
      <c r="C5" s="13" t="n"/>
      <c r="D5" s="13" t="n"/>
      <c r="E5" s="13" t="n"/>
      <c r="F5" s="13" t="n"/>
      <c r="G5" s="13" t="n"/>
      <c r="H5" s="13" t="n"/>
    </row>
    <row r="6" ht="45" customHeight="1" s="35">
      <c r="A6" s="14" t="inlineStr">
        <is>
          <t>V17.2</t>
        </is>
      </c>
      <c r="B6" s="14" t="inlineStr">
        <is>
          <t>Media</t>
        </is>
      </c>
      <c r="C6" s="15" t="inlineStr">
        <is>
          <t>V17.2.1</t>
        </is>
      </c>
      <c r="D6" s="16" t="inlineStr">
        <is>
          <t>Verify that the key for the Datagram Transport Layer Security (DTLS) certificate is managed and protected based on the documented policy for management of cryptographic keys.</t>
        </is>
      </c>
      <c r="E6" s="17" t="n">
        <v>2</v>
      </c>
      <c r="F6" s="18" t="inlineStr">
        <is>
          <t>Not Applicable</t>
        </is>
      </c>
      <c r="G6" s="16" t="inlineStr">
        <is>
          <t>Not applicable – the application does not process real-time audio/video media or use DTLS/SRTP protocols.</t>
        </is>
      </c>
      <c r="H6" s="16" t="inlineStr">
        <is>
          <t>DESOFS Phase 1: system scope excludes real-time communication/media services</t>
        </is>
      </c>
    </row>
    <row r="7" ht="75" customHeight="1" s="35">
      <c r="A7" s="19" t="inlineStr">
        <is>
          <t>V17.2</t>
        </is>
      </c>
      <c r="B7" s="19" t="inlineStr">
        <is>
          <t>Media</t>
        </is>
      </c>
      <c r="C7" s="20" t="inlineStr">
        <is>
          <t>V17.2.2</t>
        </is>
      </c>
      <c r="D7" s="21"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17" t="n">
        <v>2</v>
      </c>
      <c r="F7" s="18" t="inlineStr">
        <is>
          <t>Not Applicable</t>
        </is>
      </c>
      <c r="G7" s="21" t="inlineStr">
        <is>
          <t>Not applicable – the application does not process real-time audio/video media or use DTLS/SRTP protocols.</t>
        </is>
      </c>
      <c r="H7" s="21" t="inlineStr">
        <is>
          <t>DESOFS Phase 1: system scope excludes real-time communication/media services</t>
        </is>
      </c>
    </row>
    <row r="8" ht="75" customHeight="1" s="35">
      <c r="A8" s="14" t="inlineStr">
        <is>
          <t>V17.2</t>
        </is>
      </c>
      <c r="B8" s="14" t="inlineStr">
        <is>
          <t>Media</t>
        </is>
      </c>
      <c r="C8" s="15" t="inlineStr">
        <is>
          <t>V17.2.3</t>
        </is>
      </c>
      <c r="D8" s="16"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17" t="n">
        <v>2</v>
      </c>
      <c r="F8" s="18" t="inlineStr">
        <is>
          <t>Not Applicable</t>
        </is>
      </c>
      <c r="G8" s="16" t="inlineStr">
        <is>
          <t>Not applicable – the application does not process real-time audio/video media or use DTLS/SRTP protocols.</t>
        </is>
      </c>
      <c r="H8" s="16" t="inlineStr">
        <is>
          <t>DESOFS Phase 1: system scope excludes real-time communication/media services</t>
        </is>
      </c>
    </row>
    <row r="9" ht="45" customHeight="1" s="35">
      <c r="A9" s="19" t="inlineStr">
        <is>
          <t>V17.2</t>
        </is>
      </c>
      <c r="B9" s="19" t="inlineStr">
        <is>
          <t>Media</t>
        </is>
      </c>
      <c r="C9" s="20" t="inlineStr">
        <is>
          <t>V17.2.4</t>
        </is>
      </c>
      <c r="D9" s="21" t="inlineStr">
        <is>
          <t>Verify that the media server is able to continue processing incoming media traffic when encountering malformed Secure Real-time Transport Protocol (SRTP) packets.</t>
        </is>
      </c>
      <c r="E9" s="17" t="n">
        <v>2</v>
      </c>
      <c r="F9" s="18" t="inlineStr">
        <is>
          <t>Not Applicable</t>
        </is>
      </c>
      <c r="G9" s="21" t="inlineStr">
        <is>
          <t>Not applicable – the application does not process real-time audio/video media or use DTLS/SRTP protocols.</t>
        </is>
      </c>
      <c r="H9" s="21" t="inlineStr">
        <is>
          <t>DESOFS Phase 1: system scope excludes real-time communication/media services</t>
        </is>
      </c>
    </row>
    <row r="10" ht="45" customHeight="1" s="35">
      <c r="A10" s="14" t="inlineStr">
        <is>
          <t>V17.2</t>
        </is>
      </c>
      <c r="B10" s="14" t="inlineStr">
        <is>
          <t>Media</t>
        </is>
      </c>
      <c r="C10" s="15" t="inlineStr">
        <is>
          <t>V17.2.5</t>
        </is>
      </c>
      <c r="D10" s="16" t="inlineStr">
        <is>
          <t>Verify that the media server is able to continue processing incoming media traffic during a flood of Secure Real-time Transport Protocol (SRTP) packets from legitimate users.</t>
        </is>
      </c>
      <c r="E10" s="23" t="n">
        <v>3</v>
      </c>
      <c r="F10" s="18" t="inlineStr">
        <is>
          <t>Not Applicable</t>
        </is>
      </c>
      <c r="G10" s="16" t="inlineStr">
        <is>
          <t>Not applicable – the application does not process real-time audio/video media or use DTLS/SRTP protocols.</t>
        </is>
      </c>
      <c r="H10" s="16" t="inlineStr">
        <is>
          <t>DESOFS Phase 1: system scope excludes real-time communication/media services</t>
        </is>
      </c>
    </row>
    <row r="11" ht="60" customHeight="1" s="35">
      <c r="A11" s="19" t="inlineStr">
        <is>
          <t>V17.2</t>
        </is>
      </c>
      <c r="B11" s="19" t="inlineStr">
        <is>
          <t>Media</t>
        </is>
      </c>
      <c r="C11" s="20" t="inlineStr">
        <is>
          <t>V17.2.6</t>
        </is>
      </c>
      <c r="D11" s="21" t="inlineStr">
        <is>
          <t>Verify that the media server is not susceptible to the "ClientHello" Race Condition vulnerability in Datagram Transport Layer Security (DTLS) by checking if the media server is publicly known to be vulnerable or by performing the race condition test.</t>
        </is>
      </c>
      <c r="E11" s="23" t="n">
        <v>3</v>
      </c>
      <c r="F11" s="18" t="inlineStr">
        <is>
          <t>Not Applicable</t>
        </is>
      </c>
      <c r="G11" s="21" t="inlineStr">
        <is>
          <t>Not applicable – the application does not process real-time audio/video media or use DTLS/SRTP protocols.</t>
        </is>
      </c>
      <c r="H11" s="21" t="inlineStr">
        <is>
          <t>DESOFS Phase 1: system scope excludes real-time communication/media services</t>
        </is>
      </c>
    </row>
    <row r="12" ht="60" customHeight="1" s="35">
      <c r="A12" s="14" t="inlineStr">
        <is>
          <t>V17.2</t>
        </is>
      </c>
      <c r="B12" s="14" t="inlineStr">
        <is>
          <t>Media</t>
        </is>
      </c>
      <c r="C12" s="15" t="inlineStr">
        <is>
          <t>V17.2.7</t>
        </is>
      </c>
      <c r="D12" s="16" t="inlineStr">
        <is>
          <t>Verify that any audio or video recording mechanisms associated with the media server are able to continue processing incoming media traffic during a flood of Secure Real-time Transport Protocol (SRTP) packets from legitimate users.</t>
        </is>
      </c>
      <c r="E12" s="23" t="n">
        <v>3</v>
      </c>
      <c r="F12" s="18" t="inlineStr">
        <is>
          <t>Not Applicable</t>
        </is>
      </c>
      <c r="G12" s="16" t="inlineStr">
        <is>
          <t>Not applicable – the application does not process real-time audio/video media or use DTLS/SRTP protocols.</t>
        </is>
      </c>
      <c r="H12" s="16" t="inlineStr">
        <is>
          <t>DESOFS Phase 1: system scope excludes real-time communication/media services</t>
        </is>
      </c>
    </row>
    <row r="13" ht="60" customHeight="1" s="35">
      <c r="A13" s="19" t="inlineStr">
        <is>
          <t>V17.2</t>
        </is>
      </c>
      <c r="B13" s="19" t="inlineStr">
        <is>
          <t>Media</t>
        </is>
      </c>
      <c r="C13" s="20" t="inlineStr">
        <is>
          <t>V17.2.8</t>
        </is>
      </c>
      <c r="D13" s="21" t="inlineStr">
        <is>
          <t>Verify that the Datagram Transport Layer Security (DTLS) certificate is checked against the Session Description Protocol (SDP) fingerprint attribute, terminating the media stream if the check fails, to ensure the authenticity of the media stream.</t>
        </is>
      </c>
      <c r="E13" s="23" t="n">
        <v>3</v>
      </c>
      <c r="F13" s="18" t="inlineStr">
        <is>
          <t>Not Applicable</t>
        </is>
      </c>
      <c r="G13" s="21" t="inlineStr">
        <is>
          <t>Not applicable – the application does not process real-time audio/video media or use DTLS/SRTP protocols.</t>
        </is>
      </c>
      <c r="H13" s="21" t="inlineStr">
        <is>
          <t>DESOFS Phase 1: system scope excludes real-time communication/media services</t>
        </is>
      </c>
    </row>
    <row r="14" ht="18" customHeight="1" s="35">
      <c r="A14" s="13" t="inlineStr">
        <is>
          <t>V17.3</t>
        </is>
      </c>
      <c r="B14" s="13" t="inlineStr">
        <is>
          <t>Signaling</t>
        </is>
      </c>
      <c r="C14" s="13" t="n"/>
      <c r="D14" s="13" t="n"/>
      <c r="E14" s="13" t="n"/>
      <c r="F14" s="13" t="n"/>
      <c r="G14" s="13" t="n"/>
      <c r="H14" s="13" t="n"/>
    </row>
    <row r="15" ht="60" customHeight="1" s="35">
      <c r="A15" s="14" t="inlineStr">
        <is>
          <t>V17.3</t>
        </is>
      </c>
      <c r="B15" s="14" t="inlineStr">
        <is>
          <t>Signaling</t>
        </is>
      </c>
      <c r="C15" s="15" t="inlineStr">
        <is>
          <t>V17.3.1</t>
        </is>
      </c>
      <c r="D15" s="16" t="inlineStr">
        <is>
          <t>Verify that the signaling server is able to continue processing legitimate incoming signaling messages during a flood attack. This should be achieved by implementing rate limiting at the signaling level.</t>
        </is>
      </c>
      <c r="E15" s="17" t="n">
        <v>2</v>
      </c>
      <c r="F15" s="18" t="inlineStr">
        <is>
          <t>Not Applicable</t>
        </is>
      </c>
      <c r="G15" s="16" t="inlineStr">
        <is>
          <t>Not applicable – the application does not implement signaling protocols or real-time communication services.</t>
        </is>
      </c>
      <c r="H15" s="16" t="inlineStr">
        <is>
          <t>DESOFS Phase 1: system scope excludes real-time communication/media services</t>
        </is>
      </c>
    </row>
    <row r="16" ht="90" customHeight="1" s="35">
      <c r="A16" s="19" t="inlineStr">
        <is>
          <t>V17.3</t>
        </is>
      </c>
      <c r="B16" s="19" t="inlineStr">
        <is>
          <t>Signaling</t>
        </is>
      </c>
      <c r="C16" s="20" t="inlineStr">
        <is>
          <t>V17.3.2</t>
        </is>
      </c>
      <c r="D16" s="21"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17" t="n">
        <v>2</v>
      </c>
      <c r="F16" s="18" t="inlineStr">
        <is>
          <t>Not Applicable</t>
        </is>
      </c>
      <c r="G16" s="21" t="inlineStr">
        <is>
          <t>Not applicable – the application does not implement signaling protocols or real-time communication services.</t>
        </is>
      </c>
      <c r="H16" s="21" t="inlineStr">
        <is>
          <t>DESOFS Phase 1: system scope excludes real-time communication/media services</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2026-04-17T14:46:21Z</dcterms:created>
  <dcterms:modified xmlns:dcterms="http://purl.org/dc/terms/" xmlns:xsi="http://www.w3.org/2001/XMLSchema-instance" xsi:type="dcterms:W3CDTF">2026-06-15T16:23:35Z</dcterms:modified>
  <cp:lastModifiedBy>Alexandre Flávio Almeida Da Silva Bessa Vieira</cp:lastModifiedBy>
</cp:coreProperties>
</file>